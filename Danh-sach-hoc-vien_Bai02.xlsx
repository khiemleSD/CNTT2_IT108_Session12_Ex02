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HCM_KS26_CNTT2\IT_108\session_12\"/>
    </mc:Choice>
  </mc:AlternateContent>
  <xr:revisionPtr revIDLastSave="0" documentId="8_{05970464-5FB5-4B19-BB7F-34B50958625D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nh sách" sheetId="1" r:id="rId1"/>
    <sheet name="Thống kê" sheetId="2" r:id="rId2"/>
    <sheet name="Kiểm thử TRIM" sheetId="3" r:id="rId3"/>
  </sheets>
  <definedNames>
    <definedName name="_xlnm._FilterDatabase" localSheetId="0" hidden="1">'Danh sách'!$A$1:$J$201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3" l="1"/>
  <c r="D6" i="3" s="1"/>
  <c r="B6" i="3"/>
  <c r="E6" i="3" s="1"/>
  <c r="C5" i="3"/>
  <c r="D5" i="3" s="1"/>
  <c r="B5" i="3"/>
  <c r="E5" i="3" s="1"/>
  <c r="C4" i="3"/>
  <c r="D4" i="3" s="1"/>
  <c r="E4" i="3" s="1"/>
  <c r="B4" i="3"/>
  <c r="C3" i="3"/>
  <c r="D3" i="3" s="1"/>
  <c r="B3" i="3"/>
  <c r="E3" i="3" s="1"/>
  <c r="C2" i="3"/>
  <c r="D2" i="3" s="1"/>
  <c r="B2" i="3"/>
  <c r="E2" i="3" s="1"/>
  <c r="B15" i="2"/>
  <c r="B12" i="2"/>
  <c r="B11" i="2"/>
  <c r="B6" i="2"/>
  <c r="B5" i="2"/>
  <c r="B4" i="2"/>
  <c r="B3" i="2"/>
  <c r="B13" i="2" l="1"/>
  <c r="C12" i="2" s="1"/>
  <c r="C11" i="2"/>
  <c r="C13" i="2" s="1"/>
  <c r="B7" i="2"/>
  <c r="C3" i="2" s="1"/>
  <c r="C6" i="2" l="1"/>
  <c r="C4" i="2"/>
  <c r="C7" i="2" s="1"/>
  <c r="C5" i="2"/>
</calcChain>
</file>

<file path=xl/sharedStrings.xml><?xml version="1.0" encoding="utf-8"?>
<sst xmlns="http://schemas.openxmlformats.org/spreadsheetml/2006/main" count="1440" uniqueCount="647">
  <si>
    <t>STT</t>
  </si>
  <si>
    <t>Mã học viên</t>
  </si>
  <si>
    <t>Họ và tên</t>
  </si>
  <si>
    <t>Email</t>
  </si>
  <si>
    <t>Khoa</t>
  </si>
  <si>
    <t>Khóa học quan tâm</t>
  </si>
  <si>
    <t>Nguồn đăng ký</t>
  </si>
  <si>
    <t>Ngày đăng ký</t>
  </si>
  <si>
    <t>Điểm chuyên cần</t>
  </si>
  <si>
    <t>Trạng thái</t>
  </si>
  <si>
    <t>SV26001</t>
  </si>
  <si>
    <t>Dương Hoàng Khiêm</t>
  </si>
  <si>
    <t>duong.hoang.khiem26@email.com</t>
  </si>
  <si>
    <t>Kế toán</t>
  </si>
  <si>
    <t>Tiếng Anh giao tiếp</t>
  </si>
  <si>
    <t>Facebook Ads</t>
  </si>
  <si>
    <t>Đã xác nhận</t>
  </si>
  <si>
    <t>SV26002</t>
  </si>
  <si>
    <t>Đặng Minh Huy</t>
  </si>
  <si>
    <t>dang.minh.huy63@email.com</t>
  </si>
  <si>
    <t>Lập trình Web</t>
  </si>
  <si>
    <t>SV26003</t>
  </si>
  <si>
    <t>Đặng Yến Bình</t>
  </si>
  <si>
    <t>dang.yen.binh45@email.com</t>
  </si>
  <si>
    <t>Quản trị kinh doanh</t>
  </si>
  <si>
    <t>Google Form</t>
  </si>
  <si>
    <t>SV26004</t>
  </si>
  <si>
    <t>Ngô Gia Đạt</t>
  </si>
  <si>
    <t>ngo.gia.dat91@email.com</t>
  </si>
  <si>
    <t>Marketing Digital</t>
  </si>
  <si>
    <t>Chờ xác nhận</t>
  </si>
  <si>
    <t>SV26005</t>
  </si>
  <si>
    <t>Nguyễn Anh Việt</t>
  </si>
  <si>
    <t>nguyen.anh.viet59@email.com</t>
  </si>
  <si>
    <t>CNTT</t>
  </si>
  <si>
    <t>Excel nâng cao</t>
  </si>
  <si>
    <t>Zalo OA</t>
  </si>
  <si>
    <t>SV26006</t>
  </si>
  <si>
    <t>Dương Văn Quân</t>
  </si>
  <si>
    <t>duong.van.quan45@email.com</t>
  </si>
  <si>
    <t>Marketing</t>
  </si>
  <si>
    <t>Lập trình Python</t>
  </si>
  <si>
    <t>Website</t>
  </si>
  <si>
    <t>SV26007</t>
  </si>
  <si>
    <t>Bùi Gia An</t>
  </si>
  <si>
    <t>bui.gia.an34@email.com</t>
  </si>
  <si>
    <t>Điện tử Viễn thông</t>
  </si>
  <si>
    <t>SV26008</t>
  </si>
  <si>
    <t>Phạm Đức Trang</t>
  </si>
  <si>
    <t>pham.duc.trang43@email.com</t>
  </si>
  <si>
    <t>SV26009</t>
  </si>
  <si>
    <t>Hoàng Khánh Cường</t>
  </si>
  <si>
    <t>hoang.khanh.cuong60@email.com</t>
  </si>
  <si>
    <t>SV26010</t>
  </si>
  <si>
    <t>Bùi Khánh Vy</t>
  </si>
  <si>
    <t>bui.khanh.vy88@email.com</t>
  </si>
  <si>
    <t>SV26011</t>
  </si>
  <si>
    <t>Lý Thu Dũng</t>
  </si>
  <si>
    <t>ly.thu.dung55@email.com</t>
  </si>
  <si>
    <t>SV26012</t>
  </si>
  <si>
    <t>Vũ Đức An</t>
  </si>
  <si>
    <t>vu.duc.an30@email.com</t>
  </si>
  <si>
    <t>SV26013</t>
  </si>
  <si>
    <t>Trần Gia Bình</t>
  </si>
  <si>
    <t>tran.gia.binh11@email.com</t>
  </si>
  <si>
    <t>SV26014</t>
  </si>
  <si>
    <t>Phạm Thu Nam</t>
  </si>
  <si>
    <t>pham.thu.nam4@email.com</t>
  </si>
  <si>
    <t>Data Science</t>
  </si>
  <si>
    <t>SV26015</t>
  </si>
  <si>
    <t>Đặng Thảo Hiếu</t>
  </si>
  <si>
    <t>dang.thao.hieu20@email.com</t>
  </si>
  <si>
    <t>SV26016</t>
  </si>
  <si>
    <t>Trần Hoàng Đạt</t>
  </si>
  <si>
    <t>tran.hoang.dat90@email.com</t>
  </si>
  <si>
    <t>SV26017</t>
  </si>
  <si>
    <t>Đặng Thị Nam</t>
  </si>
  <si>
    <t>dang.thi.nam22@email.com</t>
  </si>
  <si>
    <t>SV26018</t>
  </si>
  <si>
    <t>Bùi Văn Yến</t>
  </si>
  <si>
    <t>bui.van.yen57@email.com</t>
  </si>
  <si>
    <t>SV26019</t>
  </si>
  <si>
    <t>Đỗ Thu Vy</t>
  </si>
  <si>
    <t>do.thu.vy57@email.com</t>
  </si>
  <si>
    <t>SV26020</t>
  </si>
  <si>
    <t>Lê Văn Nam</t>
  </si>
  <si>
    <t>le.van.nam26@email.com</t>
  </si>
  <si>
    <t>SV26021</t>
  </si>
  <si>
    <t>Ngô Thị Yến</t>
  </si>
  <si>
    <t>ngo.thi.yen7@email.com</t>
  </si>
  <si>
    <t>Thiết kế UI/UX</t>
  </si>
  <si>
    <t>SV26022</t>
  </si>
  <si>
    <t>Bùi Khánh Cường</t>
  </si>
  <si>
    <t>bui.khanh.cuong85@email.com</t>
  </si>
  <si>
    <t>SV26023</t>
  </si>
  <si>
    <t>Lý Gia Việt</t>
  </si>
  <si>
    <t>ly.gia.viet49@email.com</t>
  </si>
  <si>
    <t>SV26024</t>
  </si>
  <si>
    <t>Bùi Thảo Trang</t>
  </si>
  <si>
    <t>bui.thao.trang84@email.com</t>
  </si>
  <si>
    <t>SV26025</t>
  </si>
  <si>
    <t>Phạm Đức Nam</t>
  </si>
  <si>
    <t>pham.duc.nam89@email.com</t>
  </si>
  <si>
    <t>SV26026</t>
  </si>
  <si>
    <t>Hoàng Văn Hải</t>
  </si>
  <si>
    <t>hoang.van.hai60@email.com</t>
  </si>
  <si>
    <t>SV26027</t>
  </si>
  <si>
    <t>Hoàng Thị Dũng</t>
  </si>
  <si>
    <t>hoang.thi.dung32@email.com</t>
  </si>
  <si>
    <t>SV26028</t>
  </si>
  <si>
    <t>Ngô Thảo Khiêm</t>
  </si>
  <si>
    <t>ngo.thao.khiem23@email.com</t>
  </si>
  <si>
    <t>SV26029</t>
  </si>
  <si>
    <t>Phạm Khánh Linh</t>
  </si>
  <si>
    <t>pham.khanh.linh20@email.com</t>
  </si>
  <si>
    <t>SV26030</t>
  </si>
  <si>
    <t>Đỗ Thảo Trang</t>
  </si>
  <si>
    <t>do.thao.trang1@email.com</t>
  </si>
  <si>
    <t>SV26031</t>
  </si>
  <si>
    <t>Trần Thị Hải</t>
  </si>
  <si>
    <t>tran.thi.hai20@email.com</t>
  </si>
  <si>
    <t>SV26032</t>
  </si>
  <si>
    <t>Nguyễn Gia Yến</t>
  </si>
  <si>
    <t>nguyen.gia.yen83@email.com</t>
  </si>
  <si>
    <t>SV26033</t>
  </si>
  <si>
    <t>Phạm Thu Linh</t>
  </si>
  <si>
    <t>pham.thu.linh53@email.com</t>
  </si>
  <si>
    <t>SV26034</t>
  </si>
  <si>
    <t>Đặng Yến Yến</t>
  </si>
  <si>
    <t>dang.yen.yen44@email.com</t>
  </si>
  <si>
    <t>SV26035</t>
  </si>
  <si>
    <t>Dương Yến Hiếu</t>
  </si>
  <si>
    <t>duong.yen.hieu19@email.com</t>
  </si>
  <si>
    <t>SV26036</t>
  </si>
  <si>
    <t>Lý Minh Khiêm</t>
  </si>
  <si>
    <t>ly.minh.khiem13@email.com</t>
  </si>
  <si>
    <t>SV26037</t>
  </si>
  <si>
    <t>Nguyễn Văn Hải</t>
  </si>
  <si>
    <t>nguyen.van.hai92@email.com</t>
  </si>
  <si>
    <t>SV26038</t>
  </si>
  <si>
    <t>Bùi Thị Trang</t>
  </si>
  <si>
    <t>bui.thi.trang53@email.com</t>
  </si>
  <si>
    <t>SV26039</t>
  </si>
  <si>
    <t>Phạm Văn Khiêm</t>
  </si>
  <si>
    <t>pham.van.khiem77@email.com</t>
  </si>
  <si>
    <t>SV26040</t>
  </si>
  <si>
    <t>Đỗ Yến Bình</t>
  </si>
  <si>
    <t>do.yen.binh86@email.com</t>
  </si>
  <si>
    <t>SV26041</t>
  </si>
  <si>
    <t>Hoàng Quốc Đạt</t>
  </si>
  <si>
    <t>hoang.quoc.dat17@email.com</t>
  </si>
  <si>
    <t>SV26042</t>
  </si>
  <si>
    <t>Đỗ Hoàng Trang</t>
  </si>
  <si>
    <t>do.hoang.trang80@email.com</t>
  </si>
  <si>
    <t>SV26043</t>
  </si>
  <si>
    <t>Phạm Thảo Quân</t>
  </si>
  <si>
    <t>pham.thao.quan54@email.com</t>
  </si>
  <si>
    <t>SV26044</t>
  </si>
  <si>
    <t>Phạm Thị Lan</t>
  </si>
  <si>
    <t>pham.thi.lan68@email.com</t>
  </si>
  <si>
    <t>SV26045</t>
  </si>
  <si>
    <t>Trần Gia Quân</t>
  </si>
  <si>
    <t>tran.gia.quan72@email.com</t>
  </si>
  <si>
    <t>SV26046</t>
  </si>
  <si>
    <t>Trần Đức Quân</t>
  </si>
  <si>
    <t>tran.duc.quan56@email.com</t>
  </si>
  <si>
    <t>SV26047</t>
  </si>
  <si>
    <t>Đỗ Văn Vy</t>
  </si>
  <si>
    <t>do.van.vy64@email.com</t>
  </si>
  <si>
    <t>SV26048</t>
  </si>
  <si>
    <t>Dương Thảo Hải</t>
  </si>
  <si>
    <t>duong.thao.hai76@email.com</t>
  </si>
  <si>
    <t>SV26049</t>
  </si>
  <si>
    <t>Bùi Anh Trang</t>
  </si>
  <si>
    <t>bui.anh.trang55@email.com</t>
  </si>
  <si>
    <t>SV26050</t>
  </si>
  <si>
    <t>Dương Thị Quân</t>
  </si>
  <si>
    <t>duong.thi.quan61@email.com</t>
  </si>
  <si>
    <t>SV26051</t>
  </si>
  <si>
    <t>Lý Yến Vy</t>
  </si>
  <si>
    <t>ly.yen.vy12@email.com</t>
  </si>
  <si>
    <t>SV26052</t>
  </si>
  <si>
    <t>Ngô Hoàng Nam</t>
  </si>
  <si>
    <t>ngo.hoang.nam54@email.com</t>
  </si>
  <si>
    <t>SV26053</t>
  </si>
  <si>
    <t>Đặng Minh Cường</t>
  </si>
  <si>
    <t>dang.minh.cuong7@email.com</t>
  </si>
  <si>
    <t>SV26054</t>
  </si>
  <si>
    <t>Nguyễn Hoàng Hà</t>
  </si>
  <si>
    <t>nguyen.hoang.ha55@email.com</t>
  </si>
  <si>
    <t>SV26055</t>
  </si>
  <si>
    <t>Bùi Hoàng Vy</t>
  </si>
  <si>
    <t>bui.hoang.vy1@email.com</t>
  </si>
  <si>
    <t>SV26056</t>
  </si>
  <si>
    <t>Lý Anh Yến</t>
  </si>
  <si>
    <t>ly.anh.yen60@email.com</t>
  </si>
  <si>
    <t>SV26057</t>
  </si>
  <si>
    <t>Trần Khánh Trang</t>
  </si>
  <si>
    <t>tran.khanh.trang43@email.com</t>
  </si>
  <si>
    <t>SV26058</t>
  </si>
  <si>
    <t>Lê Thị Vy</t>
  </si>
  <si>
    <t>le.thi.vy91@email.com</t>
  </si>
  <si>
    <t>SV26059</t>
  </si>
  <si>
    <t>Hoàng Khánh Đạt</t>
  </si>
  <si>
    <t>hoang.khanh.dat20@email.com</t>
  </si>
  <si>
    <t>SV26060</t>
  </si>
  <si>
    <t>Trần Minh Hải</t>
  </si>
  <si>
    <t>tran.minh.hai39@email.com</t>
  </si>
  <si>
    <t>SV26061</t>
  </si>
  <si>
    <t>Đỗ Minh Huy</t>
  </si>
  <si>
    <t>do.minh.huy4@email.com</t>
  </si>
  <si>
    <t>SV26062</t>
  </si>
  <si>
    <t>Đặng Yến Hà</t>
  </si>
  <si>
    <t>dang.yen.ha47@email.com</t>
  </si>
  <si>
    <t>SV26063</t>
  </si>
  <si>
    <t>Đặng Thu Bình</t>
  </si>
  <si>
    <t>dang.thu.binh57@email.com</t>
  </si>
  <si>
    <t>SV26064</t>
  </si>
  <si>
    <t>Trần Hoàng Hải</t>
  </si>
  <si>
    <t>tran.hoang.hai9@email.com</t>
  </si>
  <si>
    <t>SV26065</t>
  </si>
  <si>
    <t>Hoàng Thị Việt</t>
  </si>
  <si>
    <t>hoang.thi.viet58@email.com</t>
  </si>
  <si>
    <t>SV26066</t>
  </si>
  <si>
    <t>Đỗ Anh Lan</t>
  </si>
  <si>
    <t>do.anh.lan58@email.com</t>
  </si>
  <si>
    <t>SV26067</t>
  </si>
  <si>
    <t>Đỗ Khánh Việt</t>
  </si>
  <si>
    <t>do.khanh.viet82@email.com</t>
  </si>
  <si>
    <t>SV26068</t>
  </si>
  <si>
    <t>Đặng Thu Huy</t>
  </si>
  <si>
    <t>dang.thu.huy21@email.com</t>
  </si>
  <si>
    <t>SV26069</t>
  </si>
  <si>
    <t>Nguyễn Văn Vy</t>
  </si>
  <si>
    <t>nguyen.van.vy21@email.com</t>
  </si>
  <si>
    <t>SV26070</t>
  </si>
  <si>
    <t>Hoàng Thảo Khiêm</t>
  </si>
  <si>
    <t>hoang.thao.khiem41@email.com</t>
  </si>
  <si>
    <t>SV26071</t>
  </si>
  <si>
    <t>Ngô Hoàng Quân</t>
  </si>
  <si>
    <t>ngo.hoang.quan84@email.com</t>
  </si>
  <si>
    <t>SV26072</t>
  </si>
  <si>
    <t>Nguyễn Khánh Bình</t>
  </si>
  <si>
    <t>nguyen.khanh.binh52@email.com</t>
  </si>
  <si>
    <t>SV26073</t>
  </si>
  <si>
    <t>Nguyễn Văn Yến</t>
  </si>
  <si>
    <t>nguyen.van.yen56@email.com</t>
  </si>
  <si>
    <t>SV26074</t>
  </si>
  <si>
    <t>Ngô Minh Hải</t>
  </si>
  <si>
    <t>ngo.minh.hai91@email.com</t>
  </si>
  <si>
    <t>SV26075</t>
  </si>
  <si>
    <t>Đỗ Thị Trang</t>
  </si>
  <si>
    <t>do.thi.trang71@email.com</t>
  </si>
  <si>
    <t>SV26076</t>
  </si>
  <si>
    <t>Lý Đức Bình</t>
  </si>
  <si>
    <t>ly.duc.binh67@email.com</t>
  </si>
  <si>
    <t>SV26077</t>
  </si>
  <si>
    <t>Đặng Quốc Vy</t>
  </si>
  <si>
    <t>dang.quoc.vy27@email.com</t>
  </si>
  <si>
    <t>SV26078</t>
  </si>
  <si>
    <t>Trần Đức Nam</t>
  </si>
  <si>
    <t>tran.duc.nam39@email.com</t>
  </si>
  <si>
    <t>SV26079</t>
  </si>
  <si>
    <t>Trần Đức Nhi</t>
  </si>
  <si>
    <t>tran.duc.nhi55@email.com</t>
  </si>
  <si>
    <t>SV26080</t>
  </si>
  <si>
    <t>Đặng Minh Đạt</t>
  </si>
  <si>
    <t>dang.minh.dat49@email.com</t>
  </si>
  <si>
    <t>SV26081</t>
  </si>
  <si>
    <t>Phạm Gia Trang</t>
  </si>
  <si>
    <t>pham.gia.trang8@email.com</t>
  </si>
  <si>
    <t>SV26082</t>
  </si>
  <si>
    <t>Dương Đức Phúc</t>
  </si>
  <si>
    <t>duong.duc.phuc72@email.com</t>
  </si>
  <si>
    <t>SV26083</t>
  </si>
  <si>
    <t>Đặng Văn Cường</t>
  </si>
  <si>
    <t>dang.van.cuong38@email.com</t>
  </si>
  <si>
    <t>SV26084</t>
  </si>
  <si>
    <t>Hoàng Văn Yến</t>
  </si>
  <si>
    <t>hoang.van.yen98@email.com</t>
  </si>
  <si>
    <t>SV26085</t>
  </si>
  <si>
    <t>Đỗ Khánh Quân</t>
  </si>
  <si>
    <t>do.khanh.quan9@email.com</t>
  </si>
  <si>
    <t>SV26086</t>
  </si>
  <si>
    <t>Nguyễn Quốc Phúc</t>
  </si>
  <si>
    <t>nguyen.quoc.phuc95@email.com</t>
  </si>
  <si>
    <t>SV26087</t>
  </si>
  <si>
    <t>Lý Thị Phúc</t>
  </si>
  <si>
    <t>ly.thi.phuc89@email.com</t>
  </si>
  <si>
    <t>SV26088</t>
  </si>
  <si>
    <t>Phạm Hoàng Hà</t>
  </si>
  <si>
    <t>pham.hoang.ha62@email.com</t>
  </si>
  <si>
    <t>SV26089</t>
  </si>
  <si>
    <t>Lý Đức An</t>
  </si>
  <si>
    <t>ly.duc.an70@email.com</t>
  </si>
  <si>
    <t>SV26090</t>
  </si>
  <si>
    <t>Lý Đức Đạt</t>
  </si>
  <si>
    <t>ly.duc.dat8@email.com</t>
  </si>
  <si>
    <t>SV26091</t>
  </si>
  <si>
    <t>Phạm Thảo Cường</t>
  </si>
  <si>
    <t>pham.thao.cuong86@email.com</t>
  </si>
  <si>
    <t>SV26092</t>
  </si>
  <si>
    <t>Nguyễn Minh Huy</t>
  </si>
  <si>
    <t>nguyen.minh.huy64@email.com</t>
  </si>
  <si>
    <t>SV26093</t>
  </si>
  <si>
    <t>Trần Thị Nhi</t>
  </si>
  <si>
    <t>tran.thi.nhi74@email.com</t>
  </si>
  <si>
    <t>SV26094</t>
  </si>
  <si>
    <t>Trần Gia Nam</t>
  </si>
  <si>
    <t>tran.gia.nam79@email.com</t>
  </si>
  <si>
    <t>SV26095</t>
  </si>
  <si>
    <t>Nguyễn Hoàng Huy</t>
  </si>
  <si>
    <t>nguyen.hoang.huy9@email.com</t>
  </si>
  <si>
    <t>SV26096</t>
  </si>
  <si>
    <t>Trần Khánh Đạt</t>
  </si>
  <si>
    <t>tran.khanh.dat36@email.com</t>
  </si>
  <si>
    <t>SV26097</t>
  </si>
  <si>
    <t>Đặng Yến Đạt</t>
  </si>
  <si>
    <t>dang.yen.dat95@email.com</t>
  </si>
  <si>
    <t>SV26098</t>
  </si>
  <si>
    <t>Nguyễn Hoàng Phúc</t>
  </si>
  <si>
    <t>nguyen.hoang.phuc34@email.com</t>
  </si>
  <si>
    <t>SV26099</t>
  </si>
  <si>
    <t>Phạm Hoàng Trang</t>
  </si>
  <si>
    <t>pham.hoang.trang54@email.com</t>
  </si>
  <si>
    <t>SV26100</t>
  </si>
  <si>
    <t>Phạm Yến Lan</t>
  </si>
  <si>
    <t>pham.yen.lan64@email.com</t>
  </si>
  <si>
    <t>SV26101</t>
  </si>
  <si>
    <t>Dương Văn Cường</t>
  </si>
  <si>
    <t>duong.van.cuong45@email.com</t>
  </si>
  <si>
    <t>SV26102</t>
  </si>
  <si>
    <t>Vũ Văn Cường</t>
  </si>
  <si>
    <t>vu.van.cuong57@email.com</t>
  </si>
  <si>
    <t>SV26103</t>
  </si>
  <si>
    <t>Đỗ Văn Hà</t>
  </si>
  <si>
    <t>do.van.ha80@email.com</t>
  </si>
  <si>
    <t>SV26104</t>
  </si>
  <si>
    <t>Nguyễn Quốc Quân</t>
  </si>
  <si>
    <t>nguyen.quoc.quan45@email.com</t>
  </si>
  <si>
    <t>SV26105</t>
  </si>
  <si>
    <t>Trần Văn Phúc</t>
  </si>
  <si>
    <t>tran.van.phuc86@email.com</t>
  </si>
  <si>
    <t>SV26106</t>
  </si>
  <si>
    <t>Phạm Đức Hải</t>
  </si>
  <si>
    <t>pham.duc.hai94@email.com</t>
  </si>
  <si>
    <t>SV26107</t>
  </si>
  <si>
    <t>Bùi Minh Khiêm</t>
  </si>
  <si>
    <t>bui.minh.khiem91@email.com</t>
  </si>
  <si>
    <t>SV26108</t>
  </si>
  <si>
    <t>Bùi Thảo Dũng</t>
  </si>
  <si>
    <t>bui.thao.dung85@email.com</t>
  </si>
  <si>
    <t>SV26109</t>
  </si>
  <si>
    <t>Bùi Yến Hải</t>
  </si>
  <si>
    <t>bui.yen.hai18@email.com</t>
  </si>
  <si>
    <t>SV26110</t>
  </si>
  <si>
    <t>Phạm Thị Nam</t>
  </si>
  <si>
    <t>pham.thi.nam60@email.com</t>
  </si>
  <si>
    <t>SV26111</t>
  </si>
  <si>
    <t>Hoàng Đức Việt</t>
  </si>
  <si>
    <t>hoang.duc.viet17@email.com</t>
  </si>
  <si>
    <t>SV26112</t>
  </si>
  <si>
    <t>Đặng Quốc Hà</t>
  </si>
  <si>
    <t>dang.quoc.ha7@email.com</t>
  </si>
  <si>
    <t>SV26113</t>
  </si>
  <si>
    <t>Lý Minh Lan</t>
  </si>
  <si>
    <t>ly.minh.lan60@email.com</t>
  </si>
  <si>
    <t>SV26114</t>
  </si>
  <si>
    <t>Vũ Quốc Hà</t>
  </si>
  <si>
    <t>vu.quoc.ha90@email.com</t>
  </si>
  <si>
    <t>SV26115</t>
  </si>
  <si>
    <t>Lý Gia Phúc</t>
  </si>
  <si>
    <t>ly.gia.phuc58@email.com</t>
  </si>
  <si>
    <t>SV26116</t>
  </si>
  <si>
    <t>Dương Thảo Trang</t>
  </si>
  <si>
    <t>duong.thao.trang42@email.com</t>
  </si>
  <si>
    <t>SV26117</t>
  </si>
  <si>
    <t>Hoàng Minh Phúc</t>
  </si>
  <si>
    <t>hoang.minh.phuc71@email.com</t>
  </si>
  <si>
    <t>SV26118</t>
  </si>
  <si>
    <t>Phạm Văn Huy</t>
  </si>
  <si>
    <t>pham.van.huy22@email.com</t>
  </si>
  <si>
    <t>SV26119</t>
  </si>
  <si>
    <t>Vũ Quốc Linh</t>
  </si>
  <si>
    <t>vu.quoc.linh25@email.com</t>
  </si>
  <si>
    <t>SV26120</t>
  </si>
  <si>
    <t>Dương Khánh Cường</t>
  </si>
  <si>
    <t>duong.khanh.cuong78@email.com</t>
  </si>
  <si>
    <t>SV26121</t>
  </si>
  <si>
    <t>Ngô Thị Phúc</t>
  </si>
  <si>
    <t>ngo.thi.phuc36@email.com</t>
  </si>
  <si>
    <t>SV26122</t>
  </si>
  <si>
    <t>Bùi Gia Phúc</t>
  </si>
  <si>
    <t>bui.gia.phuc32@email.com</t>
  </si>
  <si>
    <t>SV26123</t>
  </si>
  <si>
    <t>Phạm Khánh Trang</t>
  </si>
  <si>
    <t>pham.khanh.trang64@email.com</t>
  </si>
  <si>
    <t>SV26124</t>
  </si>
  <si>
    <t>Vũ Quốc Hiếu</t>
  </si>
  <si>
    <t>vu.quoc.hieu50@email.com</t>
  </si>
  <si>
    <t>SV26125</t>
  </si>
  <si>
    <t>Vũ Yến Yến</t>
  </si>
  <si>
    <t>vu.yen.yen82@email.com</t>
  </si>
  <si>
    <t>SV26126</t>
  </si>
  <si>
    <t>Hoàng Yến Hà</t>
  </si>
  <si>
    <t>hoang.yen.ha84@email.com</t>
  </si>
  <si>
    <t>SV26127</t>
  </si>
  <si>
    <t>Bùi Anh Khiêm</t>
  </si>
  <si>
    <t>bui.anh.khiem86@email.com</t>
  </si>
  <si>
    <t>SV26128</t>
  </si>
  <si>
    <t>Đỗ Thảo Hà</t>
  </si>
  <si>
    <t>do.thao.ha62@email.com</t>
  </si>
  <si>
    <t>SV26129</t>
  </si>
  <si>
    <t>Đỗ Anh Yến</t>
  </si>
  <si>
    <t>do.anh.yen45@email.com</t>
  </si>
  <si>
    <t>SV26130</t>
  </si>
  <si>
    <t>Lý Yến Cường</t>
  </si>
  <si>
    <t>ly.yen.cuong38@email.com</t>
  </si>
  <si>
    <t>SV26131</t>
  </si>
  <si>
    <t>Lý Khánh Đạt</t>
  </si>
  <si>
    <t>ly.khanh.dat57@email.com</t>
  </si>
  <si>
    <t>SV26132</t>
  </si>
  <si>
    <t>Đỗ Thảo Cường</t>
  </si>
  <si>
    <t>do.thao.cuong33@email.com</t>
  </si>
  <si>
    <t>SV26133</t>
  </si>
  <si>
    <t>Dương Quốc Đạt</t>
  </si>
  <si>
    <t>duong.quoc.dat30@email.com</t>
  </si>
  <si>
    <t>SV26134</t>
  </si>
  <si>
    <t>Dương Yến Việt</t>
  </si>
  <si>
    <t>duong.yen.viet24@email.com</t>
  </si>
  <si>
    <t>SV26135</t>
  </si>
  <si>
    <t>Vũ Khánh Lan</t>
  </si>
  <si>
    <t>vu.khanh.lan19@email.com</t>
  </si>
  <si>
    <t>SV26136</t>
  </si>
  <si>
    <t>Vũ Gia Nam</t>
  </si>
  <si>
    <t>vu.gia.nam54@email.com</t>
  </si>
  <si>
    <t>SV26137</t>
  </si>
  <si>
    <t>Lý Quốc Nam</t>
  </si>
  <si>
    <t>ly.quoc.nam82@email.com</t>
  </si>
  <si>
    <t>SV26138</t>
  </si>
  <si>
    <t>Nguyễn Khánh Lan</t>
  </si>
  <si>
    <t>nguyen.khanh.lan22@email.com</t>
  </si>
  <si>
    <t>SV26139</t>
  </si>
  <si>
    <t>Lý Hoàng Việt</t>
  </si>
  <si>
    <t>ly.hoang.viet85@email.com</t>
  </si>
  <si>
    <t>SV26140</t>
  </si>
  <si>
    <t>Hoàng Hoàng Vy</t>
  </si>
  <si>
    <t>hoang.hoang.vy68@email.com</t>
  </si>
  <si>
    <t>SV26141</t>
  </si>
  <si>
    <t>Lý Yến Linh</t>
  </si>
  <si>
    <t>ly.yen.linh19@email.com</t>
  </si>
  <si>
    <t>SV26142</t>
  </si>
  <si>
    <t>Nguyễn Đức Hà</t>
  </si>
  <si>
    <t>nguyen.duc.ha80@email.com</t>
  </si>
  <si>
    <t>SV26143</t>
  </si>
  <si>
    <t>Lý Hoàng Nam</t>
  </si>
  <si>
    <t>ly.hoang.nam90@email.com</t>
  </si>
  <si>
    <t>SV26144</t>
  </si>
  <si>
    <t>Nguyễn Văn Linh</t>
  </si>
  <si>
    <t>nguyen.van.linh36@email.com</t>
  </si>
  <si>
    <t>SV26145</t>
  </si>
  <si>
    <t>Hoàng Văn Việt</t>
  </si>
  <si>
    <t>hoang.van.viet75@email.com</t>
  </si>
  <si>
    <t>SV26146</t>
  </si>
  <si>
    <t>Nguyễn Thu Hiếu</t>
  </si>
  <si>
    <t>nguyen.thu.hieu35@email.com</t>
  </si>
  <si>
    <t>SV26147</t>
  </si>
  <si>
    <t>Đỗ Hoàng An</t>
  </si>
  <si>
    <t>do.hoang.an70@email.com</t>
  </si>
  <si>
    <t>SV26148</t>
  </si>
  <si>
    <t>Ngô Thị Cường</t>
  </si>
  <si>
    <t>ngo.thi.cuong10@email.com</t>
  </si>
  <si>
    <t>SV26149</t>
  </si>
  <si>
    <t>Trần Thị Hà</t>
  </si>
  <si>
    <t>tran.thi.ha77@email.com</t>
  </si>
  <si>
    <t>SV26150</t>
  </si>
  <si>
    <t>Phạm Thảo Phúc</t>
  </si>
  <si>
    <t>pham.thao.phuc81@email.com</t>
  </si>
  <si>
    <t>SV26151</t>
  </si>
  <si>
    <t>Lê Văn Đạt</t>
  </si>
  <si>
    <t>le.van.dat7@email.com</t>
  </si>
  <si>
    <t>SV26152</t>
  </si>
  <si>
    <t>Đỗ Thu Cường</t>
  </si>
  <si>
    <t>do.thu.cuong60@email.com</t>
  </si>
  <si>
    <t>SV26153</t>
  </si>
  <si>
    <t>Dương Gia Nhi</t>
  </si>
  <si>
    <t>duong.gia.nhi55@email.com</t>
  </si>
  <si>
    <t>SV26154</t>
  </si>
  <si>
    <t>Hoàng Đức Nhi</t>
  </si>
  <si>
    <t>hoang.duc.nhi98@email.com</t>
  </si>
  <si>
    <t>SV26155</t>
  </si>
  <si>
    <t>Đỗ Yến Cường</t>
  </si>
  <si>
    <t>do.yen.cuong46@email.com</t>
  </si>
  <si>
    <t>SV26156</t>
  </si>
  <si>
    <t>Nguyễn Đức Trang</t>
  </si>
  <si>
    <t>nguyen.duc.trang44@email.com</t>
  </si>
  <si>
    <t>SV26157</t>
  </si>
  <si>
    <t>Lê Đức Huy</t>
  </si>
  <si>
    <t>le.duc.huy65@email.com</t>
  </si>
  <si>
    <t>SV26158</t>
  </si>
  <si>
    <t>Hoàng Khánh Khiêm</t>
  </si>
  <si>
    <t>hoang.khanh.khiem31@email.com</t>
  </si>
  <si>
    <t>SV26159</t>
  </si>
  <si>
    <t>Đỗ Gia Yến</t>
  </si>
  <si>
    <t>do.gia.yen73@email.com</t>
  </si>
  <si>
    <t>SV26160</t>
  </si>
  <si>
    <t>Nguyễn Yến Dũng</t>
  </si>
  <si>
    <t>nguyen.yen.dung87@email.com</t>
  </si>
  <si>
    <t>SV26161</t>
  </si>
  <si>
    <t>Bùi Hoàng Cường</t>
  </si>
  <si>
    <t>bui.hoang.cuong58@email.com</t>
  </si>
  <si>
    <t>SV26162</t>
  </si>
  <si>
    <t>Đỗ Minh Nhi</t>
  </si>
  <si>
    <t>do.minh.nhi11@email.com</t>
  </si>
  <si>
    <t>SV26163</t>
  </si>
  <si>
    <t>Trần Yến Hà</t>
  </si>
  <si>
    <t>tran.yen.ha60@email.com</t>
  </si>
  <si>
    <t>SV26164</t>
  </si>
  <si>
    <t>Ngô Văn Hà</t>
  </si>
  <si>
    <t>ngo.van.ha14@email.com</t>
  </si>
  <si>
    <t>SV26165</t>
  </si>
  <si>
    <t>Phạm Anh Hải</t>
  </si>
  <si>
    <t>pham.anh.hai3@email.com</t>
  </si>
  <si>
    <t>SV26166</t>
  </si>
  <si>
    <t>Phạm Quốc Phúc</t>
  </si>
  <si>
    <t>pham.quoc.phuc12@email.com</t>
  </si>
  <si>
    <t>SV26167</t>
  </si>
  <si>
    <t>Lý Văn Nhi</t>
  </si>
  <si>
    <t>ly.van.nhi83@email.com</t>
  </si>
  <si>
    <t>SV26168</t>
  </si>
  <si>
    <t>Bùi Anh Huy</t>
  </si>
  <si>
    <t>bui.anh.huy56@email.com</t>
  </si>
  <si>
    <t>SV26169</t>
  </si>
  <si>
    <t>Trần Anh Linh</t>
  </si>
  <si>
    <t>tran.anh.linh47@email.com</t>
  </si>
  <si>
    <t>SV26170</t>
  </si>
  <si>
    <t>Phạm Đức Khiêm</t>
  </si>
  <si>
    <t>pham.duc.khiem72@email.com</t>
  </si>
  <si>
    <t>SV26171</t>
  </si>
  <si>
    <t>Trần Gia Hải</t>
  </si>
  <si>
    <t>tran.gia.hai94@email.com</t>
  </si>
  <si>
    <t>SV26172</t>
  </si>
  <si>
    <t>Lý Anh Đạt</t>
  </si>
  <si>
    <t>ly.anh.dat48@email.com</t>
  </si>
  <si>
    <t>SV26173</t>
  </si>
  <si>
    <t>Ngô Anh Hải</t>
  </si>
  <si>
    <t>ngo.anh.hai27@email.com</t>
  </si>
  <si>
    <t>SV26174</t>
  </si>
  <si>
    <t>Bùi Gia Quân</t>
  </si>
  <si>
    <t>bui.gia.quan3@email.com</t>
  </si>
  <si>
    <t>SV26175</t>
  </si>
  <si>
    <t>Phạm Minh Quân</t>
  </si>
  <si>
    <t>pham.minh.quan67@email.com</t>
  </si>
  <si>
    <t>SV26176</t>
  </si>
  <si>
    <t>Ngô Hoàng Việt</t>
  </si>
  <si>
    <t>ngo.hoang.viet98@email.com</t>
  </si>
  <si>
    <t>SV26177</t>
  </si>
  <si>
    <t>Ngô Anh Trang</t>
  </si>
  <si>
    <t>ngo.anh.trang39@email.com</t>
  </si>
  <si>
    <t>SV26178</t>
  </si>
  <si>
    <t>Ngô Quốc Đạt</t>
  </si>
  <si>
    <t>ngo.quoc.dat68@email.com</t>
  </si>
  <si>
    <t>SV26179</t>
  </si>
  <si>
    <t>Nguyễn Đức Cường</t>
  </si>
  <si>
    <t>nguyen.duc.cuong73@email.com</t>
  </si>
  <si>
    <t>SV26180</t>
  </si>
  <si>
    <t>Bùi Hoàng An</t>
  </si>
  <si>
    <t>bui.hoang.an55@email.com</t>
  </si>
  <si>
    <t>SV26181</t>
  </si>
  <si>
    <t>Nguyễn Văn Trang</t>
  </si>
  <si>
    <t>nguyen.van.trang57@email.com</t>
  </si>
  <si>
    <t>SV26182</t>
  </si>
  <si>
    <t>Ngô Thị Dũng</t>
  </si>
  <si>
    <t>ngo.thi.dung46@email.com</t>
  </si>
  <si>
    <t>SV26183</t>
  </si>
  <si>
    <t>Lê Yến Việt</t>
  </si>
  <si>
    <t>le.yen.viet96@email.com</t>
  </si>
  <si>
    <t>SV26184</t>
  </si>
  <si>
    <t>Lý Thu Nam</t>
  </si>
  <si>
    <t>ly.thu.nam95@email.com</t>
  </si>
  <si>
    <t>SV26185</t>
  </si>
  <si>
    <t>Bùi Đức Đạt</t>
  </si>
  <si>
    <t>bui.duc.dat57@email.com</t>
  </si>
  <si>
    <t>SV26186</t>
  </si>
  <si>
    <t>Hoàng Đức Cường</t>
  </si>
  <si>
    <t>hoang.duc.cuong46@email.com</t>
  </si>
  <si>
    <t>SV26187</t>
  </si>
  <si>
    <t>Phạm Quốc Lan</t>
  </si>
  <si>
    <t>pham.quoc.lan69@email.com</t>
  </si>
  <si>
    <t>SV26188</t>
  </si>
  <si>
    <t>Bùi Khánh Dũng</t>
  </si>
  <si>
    <t>bui.khanh.dung52@email.com</t>
  </si>
  <si>
    <t>SV26189</t>
  </si>
  <si>
    <t>Lê Khánh Quân</t>
  </si>
  <si>
    <t>le.khanh.quan33@email.com</t>
  </si>
  <si>
    <t>SV26190</t>
  </si>
  <si>
    <t>Nguyễn Thảo Cường</t>
  </si>
  <si>
    <t>nguyen.thao.cuong67@email.com</t>
  </si>
  <si>
    <t>SV26191</t>
  </si>
  <si>
    <t>Lý Thu Khiêm</t>
  </si>
  <si>
    <t>ly.thu.khiem56@email.com</t>
  </si>
  <si>
    <t>SV26192</t>
  </si>
  <si>
    <t>Bùi Thị Hải</t>
  </si>
  <si>
    <t>bui.thi.hai58@email.com</t>
  </si>
  <si>
    <t>SV26193</t>
  </si>
  <si>
    <t>Bùi Quốc Bình</t>
  </si>
  <si>
    <t>bui.quoc.binh75@email.com</t>
  </si>
  <si>
    <t>SV26194</t>
  </si>
  <si>
    <t>Lý Thảo Cường</t>
  </si>
  <si>
    <t>ly.thao.cuong84@email.com</t>
  </si>
  <si>
    <t>SV26195</t>
  </si>
  <si>
    <t>Hoàng Anh Huy</t>
  </si>
  <si>
    <t>hoang.anh.huy33@email.com</t>
  </si>
  <si>
    <t>SV26196</t>
  </si>
  <si>
    <t>Đặng Thu Phúc</t>
  </si>
  <si>
    <t>dang.thu.phuc29@email.com</t>
  </si>
  <si>
    <t>SV26197</t>
  </si>
  <si>
    <t>Lý Minh Đạt</t>
  </si>
  <si>
    <t>ly.minh.dat16@email.com</t>
  </si>
  <si>
    <t>SV26198</t>
  </si>
  <si>
    <t>Dương Văn Hiếu</t>
  </si>
  <si>
    <t>duong.van.hieu71@email.com</t>
  </si>
  <si>
    <t>SV26199</t>
  </si>
  <si>
    <t>Vũ Anh Dũng</t>
  </si>
  <si>
    <t>vu.anh.dung63@email.com</t>
  </si>
  <si>
    <t>SV26200</t>
  </si>
  <si>
    <t>Hoàng Thị Huy</t>
  </si>
  <si>
    <t>hoang.thi.huy53@email.com</t>
  </si>
  <si>
    <t>Thống kê theo nguồn đăng ký</t>
  </si>
  <si>
    <t>Số lượng</t>
  </si>
  <si>
    <t>Tỷ lệ</t>
  </si>
  <si>
    <t>Tổng cộng</t>
  </si>
  <si>
    <t>Thống kê theo trạng thái</t>
  </si>
  <si>
    <t>Học viên khoa CNTT có điểm chuyên cần dưới 7</t>
  </si>
  <si>
    <t>Ghi chú: dữ liệu học viên là dữ liệu mẫu tạo ngẫu nhiên cho bài tập, không phải dữ liệu thật.</t>
  </si>
  <si>
    <t>Họ và tên (có khoảng trắng thừa)</t>
  </si>
  <si>
    <t>LEN gốc</t>
  </si>
  <si>
    <t>Sau TRIM</t>
  </si>
  <si>
    <t>LEN sau TRIM</t>
  </si>
  <si>
    <t>Có khoảng trắng thừa?</t>
  </si>
  <si>
    <t xml:space="preserve">Nguyễn Văn An </t>
  </si>
  <si>
    <t xml:space="preserve">  Trần Thị Bình</t>
  </si>
  <si>
    <t>Lê  Minh Đức</t>
  </si>
  <si>
    <t>Phạm Thu Hà</t>
  </si>
  <si>
    <t xml:space="preserve">Đỗ Quốc Huy  </t>
  </si>
  <si>
    <t>Cách xử lý: dán cột Sau TRIM đè lên cột tên gốc bằng Paste Special &gt; Values, rồi lọc lại.</t>
  </si>
  <si>
    <t>Nếu TRIM chưa đủ, dùng =TRIM(SUBSTITUTE(A2,CHAR(160)," ")) để bỏ khoảng trắng không ngắt.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</si>
</sst>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.0"/>
    <numFmt numFmtId="166" formatCode="0.0%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0B1F3A"/>
        <bgColor rgb="FF003300"/>
      </patternFill>
    </fill>
  </fills>
  <borders count="2">
    <border>
      <left/>
      <right/>
      <top/>
      <bottom/>
      <diagonal/>
    </border>
    <border>
      <left style="thin">
        <color rgb="FFB8C4D6"/>
      </left>
      <right style="thin">
        <color rgb="FFB8C4D6"/>
      </right>
      <top style="thin">
        <color rgb="FFB8C4D6"/>
      </top>
      <bottom style="thin">
        <color rgb="FFB8C4D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1" fillId="2" borderId="0" xfId="0" applyFont="1" applyFill="1"/>
    <xf numFmtId="166" fontId="2" fillId="0" borderId="0" xfId="0" applyNumberFormat="1" applyFont="1"/>
    <xf numFmtId="0" fontId="4" fillId="0" borderId="0" xfId="0" applyFont="1"/>
    <xf numFmtId="166" fontId="4" fillId="0" borderId="0" xfId="0" applyNumberFormat="1" applyFont="1"/>
  </cellXfs>
  <cellStyles count="1">
    <cellStyle name="Bình thường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01"/>
  <sheetViews>
    <sheetView tabSelected="1" zoomScaleNormal="100" workbookViewId="0">
      <pane ySplit="1" topLeftCell="A133" activePane="bottomLeft" state="frozen"/>
      <selection pane="bottomLeft"/>
    </sheetView>
  </sheetViews>
  <sheetFormatPr defaultColWidth="8.6640625" defaultRowHeight="14.4" x14ac:dyDescent="0.3"/>
  <cols>
    <col min="1" max="1" width="6" customWidth="1"/>
    <col min="2" max="2" width="13" customWidth="1"/>
    <col min="3" max="3" width="24" customWidth="1"/>
    <col min="4" max="4" width="32" customWidth="1"/>
    <col min="5" max="6" width="22" customWidth="1"/>
    <col min="7" max="7" width="15" customWidth="1"/>
    <col min="8" max="8" width="14" customWidth="1"/>
    <col min="9" max="9" width="13" customWidth="1"/>
    <col min="10" max="10" width="15" customWidth="1"/>
  </cols>
  <sheetData>
    <row r="1" spans="1:10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>
        <v>1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>
        <v>46298</v>
      </c>
      <c r="I2" s="5">
        <v>3.5</v>
      </c>
      <c r="J2" s="3" t="s">
        <v>16</v>
      </c>
    </row>
    <row r="3" spans="1:10" hidden="1" x14ac:dyDescent="0.3">
      <c r="A3" s="2">
        <v>2</v>
      </c>
      <c r="B3" s="2" t="s">
        <v>17</v>
      </c>
      <c r="C3" s="3" t="s">
        <v>18</v>
      </c>
      <c r="D3" s="3" t="s">
        <v>19</v>
      </c>
      <c r="E3" s="3" t="s">
        <v>13</v>
      </c>
      <c r="F3" s="3" t="s">
        <v>20</v>
      </c>
      <c r="G3" s="3" t="s">
        <v>15</v>
      </c>
      <c r="H3" s="4">
        <v>46298</v>
      </c>
      <c r="I3" s="5">
        <v>8.1</v>
      </c>
      <c r="J3" s="3" t="s">
        <v>16</v>
      </c>
    </row>
    <row r="4" spans="1:10" hidden="1" x14ac:dyDescent="0.3">
      <c r="A4" s="2">
        <v>3</v>
      </c>
      <c r="B4" s="2" t="s">
        <v>21</v>
      </c>
      <c r="C4" s="3" t="s">
        <v>22</v>
      </c>
      <c r="D4" s="3" t="s">
        <v>23</v>
      </c>
      <c r="E4" s="3" t="s">
        <v>24</v>
      </c>
      <c r="F4" s="3" t="s">
        <v>14</v>
      </c>
      <c r="G4" s="3" t="s">
        <v>25</v>
      </c>
      <c r="H4" s="4">
        <v>46296</v>
      </c>
      <c r="I4" s="5">
        <v>8.9</v>
      </c>
      <c r="J4" s="3" t="s">
        <v>16</v>
      </c>
    </row>
    <row r="5" spans="1:10" hidden="1" x14ac:dyDescent="0.3">
      <c r="A5" s="2">
        <v>4</v>
      </c>
      <c r="B5" s="2" t="s">
        <v>26</v>
      </c>
      <c r="C5" s="3" t="s">
        <v>27</v>
      </c>
      <c r="D5" s="3" t="s">
        <v>28</v>
      </c>
      <c r="E5" s="3" t="s">
        <v>24</v>
      </c>
      <c r="F5" s="3" t="s">
        <v>29</v>
      </c>
      <c r="G5" s="3" t="s">
        <v>25</v>
      </c>
      <c r="H5" s="4">
        <v>46312</v>
      </c>
      <c r="I5" s="5">
        <v>4</v>
      </c>
      <c r="J5" s="3" t="s">
        <v>30</v>
      </c>
    </row>
    <row r="6" spans="1:10" x14ac:dyDescent="0.3">
      <c r="A6" s="2">
        <v>5</v>
      </c>
      <c r="B6" s="2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4">
        <v>46318</v>
      </c>
      <c r="I6" s="5">
        <v>4.0999999999999996</v>
      </c>
      <c r="J6" s="3" t="s">
        <v>16</v>
      </c>
    </row>
    <row r="7" spans="1:10" hidden="1" x14ac:dyDescent="0.3">
      <c r="A7" s="2">
        <v>6</v>
      </c>
      <c r="B7" s="2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4">
        <v>46314</v>
      </c>
      <c r="I7" s="5">
        <v>7</v>
      </c>
      <c r="J7" s="3" t="s">
        <v>16</v>
      </c>
    </row>
    <row r="8" spans="1:10" hidden="1" x14ac:dyDescent="0.3">
      <c r="A8" s="2">
        <v>7</v>
      </c>
      <c r="B8" s="2" t="s">
        <v>43</v>
      </c>
      <c r="C8" s="3" t="s">
        <v>44</v>
      </c>
      <c r="D8" s="3" t="s">
        <v>45</v>
      </c>
      <c r="E8" s="3" t="s">
        <v>46</v>
      </c>
      <c r="F8" s="3" t="s">
        <v>35</v>
      </c>
      <c r="G8" s="3" t="s">
        <v>42</v>
      </c>
      <c r="H8" s="4">
        <v>46301</v>
      </c>
      <c r="I8" s="5">
        <v>6.4</v>
      </c>
      <c r="J8" s="3" t="s">
        <v>16</v>
      </c>
    </row>
    <row r="9" spans="1:10" hidden="1" x14ac:dyDescent="0.3">
      <c r="A9" s="2">
        <v>8</v>
      </c>
      <c r="B9" s="2" t="s">
        <v>47</v>
      </c>
      <c r="C9" s="3" t="s">
        <v>48</v>
      </c>
      <c r="D9" s="3" t="s">
        <v>49</v>
      </c>
      <c r="E9" s="3" t="s">
        <v>24</v>
      </c>
      <c r="F9" s="3" t="s">
        <v>29</v>
      </c>
      <c r="G9" s="3" t="s">
        <v>42</v>
      </c>
      <c r="H9" s="4">
        <v>46306</v>
      </c>
      <c r="I9" s="5">
        <v>8.3000000000000007</v>
      </c>
      <c r="J9" s="3" t="s">
        <v>16</v>
      </c>
    </row>
    <row r="10" spans="1:10" x14ac:dyDescent="0.3">
      <c r="A10" s="2">
        <v>9</v>
      </c>
      <c r="B10" s="2" t="s">
        <v>50</v>
      </c>
      <c r="C10" s="3" t="s">
        <v>51</v>
      </c>
      <c r="D10" s="3" t="s">
        <v>52</v>
      </c>
      <c r="E10" s="3" t="s">
        <v>34</v>
      </c>
      <c r="F10" s="3" t="s">
        <v>35</v>
      </c>
      <c r="G10" s="3" t="s">
        <v>42</v>
      </c>
      <c r="H10" s="4">
        <v>46305</v>
      </c>
      <c r="I10" s="5">
        <v>6.6</v>
      </c>
      <c r="J10" s="3" t="s">
        <v>16</v>
      </c>
    </row>
    <row r="11" spans="1:10" hidden="1" x14ac:dyDescent="0.3">
      <c r="A11" s="2">
        <v>10</v>
      </c>
      <c r="B11" s="2" t="s">
        <v>53</v>
      </c>
      <c r="C11" s="3" t="s">
        <v>54</v>
      </c>
      <c r="D11" s="3" t="s">
        <v>55</v>
      </c>
      <c r="E11" s="3" t="s">
        <v>40</v>
      </c>
      <c r="F11" s="3" t="s">
        <v>41</v>
      </c>
      <c r="G11" s="3" t="s">
        <v>15</v>
      </c>
      <c r="H11" s="4">
        <v>46299</v>
      </c>
      <c r="I11" s="5">
        <v>3</v>
      </c>
      <c r="J11" s="3" t="s">
        <v>16</v>
      </c>
    </row>
    <row r="12" spans="1:10" hidden="1" x14ac:dyDescent="0.3">
      <c r="A12" s="2">
        <v>11</v>
      </c>
      <c r="B12" s="2" t="s">
        <v>56</v>
      </c>
      <c r="C12" s="3" t="s">
        <v>57</v>
      </c>
      <c r="D12" s="3" t="s">
        <v>58</v>
      </c>
      <c r="E12" s="3" t="s">
        <v>34</v>
      </c>
      <c r="F12" s="3" t="s">
        <v>20</v>
      </c>
      <c r="G12" s="3" t="s">
        <v>42</v>
      </c>
      <c r="H12" s="4">
        <v>46309</v>
      </c>
      <c r="I12" s="5">
        <v>8.1999999999999993</v>
      </c>
      <c r="J12" s="3" t="s">
        <v>30</v>
      </c>
    </row>
    <row r="13" spans="1:10" hidden="1" x14ac:dyDescent="0.3">
      <c r="A13" s="2">
        <v>12</v>
      </c>
      <c r="B13" s="2" t="s">
        <v>59</v>
      </c>
      <c r="C13" s="3" t="s">
        <v>60</v>
      </c>
      <c r="D13" s="3" t="s">
        <v>61</v>
      </c>
      <c r="E13" s="3" t="s">
        <v>24</v>
      </c>
      <c r="F13" s="3" t="s">
        <v>14</v>
      </c>
      <c r="G13" s="3" t="s">
        <v>25</v>
      </c>
      <c r="H13" s="4">
        <v>46308</v>
      </c>
      <c r="I13" s="5">
        <v>4.3</v>
      </c>
      <c r="J13" s="3" t="s">
        <v>30</v>
      </c>
    </row>
    <row r="14" spans="1:10" x14ac:dyDescent="0.3">
      <c r="A14" s="2">
        <v>13</v>
      </c>
      <c r="B14" s="2" t="s">
        <v>62</v>
      </c>
      <c r="C14" s="3" t="s">
        <v>63</v>
      </c>
      <c r="D14" s="3" t="s">
        <v>64</v>
      </c>
      <c r="E14" s="3" t="s">
        <v>34</v>
      </c>
      <c r="F14" s="3" t="s">
        <v>29</v>
      </c>
      <c r="G14" s="3" t="s">
        <v>15</v>
      </c>
      <c r="H14" s="4">
        <v>46305</v>
      </c>
      <c r="I14" s="5">
        <v>4.5999999999999996</v>
      </c>
      <c r="J14" s="3" t="s">
        <v>16</v>
      </c>
    </row>
    <row r="15" spans="1:10" hidden="1" x14ac:dyDescent="0.3">
      <c r="A15" s="2">
        <v>14</v>
      </c>
      <c r="B15" s="2" t="s">
        <v>65</v>
      </c>
      <c r="C15" s="3" t="s">
        <v>66</v>
      </c>
      <c r="D15" s="3" t="s">
        <v>67</v>
      </c>
      <c r="E15" s="3" t="s">
        <v>40</v>
      </c>
      <c r="F15" s="3" t="s">
        <v>68</v>
      </c>
      <c r="G15" s="3" t="s">
        <v>15</v>
      </c>
      <c r="H15" s="4">
        <v>46317</v>
      </c>
      <c r="I15" s="5">
        <v>6.4</v>
      </c>
      <c r="J15" s="3" t="s">
        <v>16</v>
      </c>
    </row>
    <row r="16" spans="1:10" hidden="1" x14ac:dyDescent="0.3">
      <c r="A16" s="2">
        <v>15</v>
      </c>
      <c r="B16" s="2" t="s">
        <v>69</v>
      </c>
      <c r="C16" s="3" t="s">
        <v>70</v>
      </c>
      <c r="D16" s="3" t="s">
        <v>71</v>
      </c>
      <c r="E16" s="3" t="s">
        <v>46</v>
      </c>
      <c r="F16" s="3" t="s">
        <v>35</v>
      </c>
      <c r="G16" s="3" t="s">
        <v>25</v>
      </c>
      <c r="H16" s="4">
        <v>46318</v>
      </c>
      <c r="I16" s="5">
        <v>8</v>
      </c>
      <c r="J16" s="3" t="s">
        <v>30</v>
      </c>
    </row>
    <row r="17" spans="1:10" hidden="1" x14ac:dyDescent="0.3">
      <c r="A17" s="2">
        <v>16</v>
      </c>
      <c r="B17" s="2" t="s">
        <v>72</v>
      </c>
      <c r="C17" s="3" t="s">
        <v>73</v>
      </c>
      <c r="D17" s="3" t="s">
        <v>74</v>
      </c>
      <c r="E17" s="3" t="s">
        <v>24</v>
      </c>
      <c r="F17" s="3" t="s">
        <v>68</v>
      </c>
      <c r="G17" s="3" t="s">
        <v>42</v>
      </c>
      <c r="H17" s="4">
        <v>46298</v>
      </c>
      <c r="I17" s="5">
        <v>4.7</v>
      </c>
      <c r="J17" s="3" t="s">
        <v>16</v>
      </c>
    </row>
    <row r="18" spans="1:10" hidden="1" x14ac:dyDescent="0.3">
      <c r="A18" s="2">
        <v>17</v>
      </c>
      <c r="B18" s="2" t="s">
        <v>75</v>
      </c>
      <c r="C18" s="3" t="s">
        <v>76</v>
      </c>
      <c r="D18" s="3" t="s">
        <v>77</v>
      </c>
      <c r="E18" s="3" t="s">
        <v>13</v>
      </c>
      <c r="F18" s="3" t="s">
        <v>20</v>
      </c>
      <c r="G18" s="3" t="s">
        <v>36</v>
      </c>
      <c r="H18" s="4">
        <v>46320</v>
      </c>
      <c r="I18" s="5">
        <v>6.8</v>
      </c>
      <c r="J18" s="3" t="s">
        <v>16</v>
      </c>
    </row>
    <row r="19" spans="1:10" hidden="1" x14ac:dyDescent="0.3">
      <c r="A19" s="2">
        <v>18</v>
      </c>
      <c r="B19" s="2" t="s">
        <v>78</v>
      </c>
      <c r="C19" s="3" t="s">
        <v>79</v>
      </c>
      <c r="D19" s="3" t="s">
        <v>80</v>
      </c>
      <c r="E19" s="3" t="s">
        <v>24</v>
      </c>
      <c r="F19" s="3" t="s">
        <v>68</v>
      </c>
      <c r="G19" s="3" t="s">
        <v>36</v>
      </c>
      <c r="H19" s="4">
        <v>46315</v>
      </c>
      <c r="I19" s="5">
        <v>3.4</v>
      </c>
      <c r="J19" s="3" t="s">
        <v>16</v>
      </c>
    </row>
    <row r="20" spans="1:10" hidden="1" x14ac:dyDescent="0.3">
      <c r="A20" s="2">
        <v>19</v>
      </c>
      <c r="B20" s="2" t="s">
        <v>81</v>
      </c>
      <c r="C20" s="3" t="s">
        <v>82</v>
      </c>
      <c r="D20" s="3" t="s">
        <v>83</v>
      </c>
      <c r="E20" s="3" t="s">
        <v>13</v>
      </c>
      <c r="F20" s="3" t="s">
        <v>35</v>
      </c>
      <c r="G20" s="3" t="s">
        <v>42</v>
      </c>
      <c r="H20" s="4">
        <v>46307</v>
      </c>
      <c r="I20" s="5">
        <v>5.3</v>
      </c>
      <c r="J20" s="3" t="s">
        <v>16</v>
      </c>
    </row>
    <row r="21" spans="1:10" x14ac:dyDescent="0.3">
      <c r="A21" s="2">
        <v>20</v>
      </c>
      <c r="B21" s="2" t="s">
        <v>84</v>
      </c>
      <c r="C21" s="3" t="s">
        <v>85</v>
      </c>
      <c r="D21" s="3" t="s">
        <v>86</v>
      </c>
      <c r="E21" s="3" t="s">
        <v>34</v>
      </c>
      <c r="F21" s="3" t="s">
        <v>29</v>
      </c>
      <c r="G21" s="3" t="s">
        <v>15</v>
      </c>
      <c r="H21" s="4">
        <v>46319</v>
      </c>
      <c r="I21" s="5">
        <v>5.3</v>
      </c>
      <c r="J21" s="3" t="s">
        <v>16</v>
      </c>
    </row>
    <row r="22" spans="1:10" hidden="1" x14ac:dyDescent="0.3">
      <c r="A22" s="2">
        <v>21</v>
      </c>
      <c r="B22" s="2" t="s">
        <v>87</v>
      </c>
      <c r="C22" s="3" t="s">
        <v>88</v>
      </c>
      <c r="D22" s="3" t="s">
        <v>89</v>
      </c>
      <c r="E22" s="3" t="s">
        <v>40</v>
      </c>
      <c r="F22" s="3" t="s">
        <v>90</v>
      </c>
      <c r="G22" s="3" t="s">
        <v>42</v>
      </c>
      <c r="H22" s="4">
        <v>46318</v>
      </c>
      <c r="I22" s="5">
        <v>8.6</v>
      </c>
      <c r="J22" s="3" t="s">
        <v>16</v>
      </c>
    </row>
    <row r="23" spans="1:10" hidden="1" x14ac:dyDescent="0.3">
      <c r="A23" s="2">
        <v>22</v>
      </c>
      <c r="B23" s="2" t="s">
        <v>91</v>
      </c>
      <c r="C23" s="3" t="s">
        <v>92</v>
      </c>
      <c r="D23" s="3" t="s">
        <v>93</v>
      </c>
      <c r="E23" s="3" t="s">
        <v>46</v>
      </c>
      <c r="F23" s="3" t="s">
        <v>20</v>
      </c>
      <c r="G23" s="3" t="s">
        <v>15</v>
      </c>
      <c r="H23" s="4">
        <v>46319</v>
      </c>
      <c r="I23" s="5">
        <v>3.9</v>
      </c>
      <c r="J23" s="3" t="s">
        <v>16</v>
      </c>
    </row>
    <row r="24" spans="1:10" hidden="1" x14ac:dyDescent="0.3">
      <c r="A24" s="2">
        <v>23</v>
      </c>
      <c r="B24" s="2" t="s">
        <v>94</v>
      </c>
      <c r="C24" s="3" t="s">
        <v>95</v>
      </c>
      <c r="D24" s="3" t="s">
        <v>96</v>
      </c>
      <c r="E24" s="3" t="s">
        <v>13</v>
      </c>
      <c r="F24" s="3" t="s">
        <v>41</v>
      </c>
      <c r="G24" s="3" t="s">
        <v>15</v>
      </c>
      <c r="H24" s="4">
        <v>46306</v>
      </c>
      <c r="I24" s="5">
        <v>7.4</v>
      </c>
      <c r="J24" s="3" t="s">
        <v>16</v>
      </c>
    </row>
    <row r="25" spans="1:10" hidden="1" x14ac:dyDescent="0.3">
      <c r="A25" s="2">
        <v>24</v>
      </c>
      <c r="B25" s="2" t="s">
        <v>97</v>
      </c>
      <c r="C25" s="3" t="s">
        <v>98</v>
      </c>
      <c r="D25" s="3" t="s">
        <v>99</v>
      </c>
      <c r="E25" s="3" t="s">
        <v>34</v>
      </c>
      <c r="F25" s="3" t="s">
        <v>20</v>
      </c>
      <c r="G25" s="3" t="s">
        <v>15</v>
      </c>
      <c r="H25" s="4">
        <v>46303</v>
      </c>
      <c r="I25" s="5">
        <v>9.8000000000000007</v>
      </c>
      <c r="J25" s="3" t="s">
        <v>30</v>
      </c>
    </row>
    <row r="26" spans="1:10" hidden="1" x14ac:dyDescent="0.3">
      <c r="A26" s="2">
        <v>25</v>
      </c>
      <c r="B26" s="2" t="s">
        <v>100</v>
      </c>
      <c r="C26" s="3" t="s">
        <v>101</v>
      </c>
      <c r="D26" s="3" t="s">
        <v>102</v>
      </c>
      <c r="E26" s="3" t="s">
        <v>34</v>
      </c>
      <c r="F26" s="3" t="s">
        <v>14</v>
      </c>
      <c r="G26" s="3" t="s">
        <v>15</v>
      </c>
      <c r="H26" s="4">
        <v>46305</v>
      </c>
      <c r="I26" s="5">
        <v>7.5</v>
      </c>
      <c r="J26" s="3" t="s">
        <v>16</v>
      </c>
    </row>
    <row r="27" spans="1:10" x14ac:dyDescent="0.3">
      <c r="A27" s="2">
        <v>26</v>
      </c>
      <c r="B27" s="2" t="s">
        <v>103</v>
      </c>
      <c r="C27" s="3" t="s">
        <v>104</v>
      </c>
      <c r="D27" s="3" t="s">
        <v>105</v>
      </c>
      <c r="E27" s="3" t="s">
        <v>34</v>
      </c>
      <c r="F27" s="3" t="s">
        <v>41</v>
      </c>
      <c r="G27" s="3" t="s">
        <v>15</v>
      </c>
      <c r="H27" s="4">
        <v>46313</v>
      </c>
      <c r="I27" s="5">
        <v>3.3</v>
      </c>
      <c r="J27" s="3" t="s">
        <v>16</v>
      </c>
    </row>
    <row r="28" spans="1:10" x14ac:dyDescent="0.3">
      <c r="A28" s="2">
        <v>27</v>
      </c>
      <c r="B28" s="2" t="s">
        <v>106</v>
      </c>
      <c r="C28" s="3" t="s">
        <v>107</v>
      </c>
      <c r="D28" s="3" t="s">
        <v>108</v>
      </c>
      <c r="E28" s="3" t="s">
        <v>34</v>
      </c>
      <c r="F28" s="3" t="s">
        <v>20</v>
      </c>
      <c r="G28" s="3" t="s">
        <v>15</v>
      </c>
      <c r="H28" s="4">
        <v>46305</v>
      </c>
      <c r="I28" s="5">
        <v>6.9</v>
      </c>
      <c r="J28" s="3" t="s">
        <v>16</v>
      </c>
    </row>
    <row r="29" spans="1:10" hidden="1" x14ac:dyDescent="0.3">
      <c r="A29" s="2">
        <v>28</v>
      </c>
      <c r="B29" s="2" t="s">
        <v>109</v>
      </c>
      <c r="C29" s="3" t="s">
        <v>110</v>
      </c>
      <c r="D29" s="3" t="s">
        <v>111</v>
      </c>
      <c r="E29" s="3" t="s">
        <v>46</v>
      </c>
      <c r="F29" s="3" t="s">
        <v>29</v>
      </c>
      <c r="G29" s="3" t="s">
        <v>36</v>
      </c>
      <c r="H29" s="4">
        <v>46316</v>
      </c>
      <c r="I29" s="5">
        <v>3.4</v>
      </c>
      <c r="J29" s="3" t="s">
        <v>16</v>
      </c>
    </row>
    <row r="30" spans="1:10" hidden="1" x14ac:dyDescent="0.3">
      <c r="A30" s="2">
        <v>29</v>
      </c>
      <c r="B30" s="2" t="s">
        <v>112</v>
      </c>
      <c r="C30" s="3" t="s">
        <v>113</v>
      </c>
      <c r="D30" s="3" t="s">
        <v>114</v>
      </c>
      <c r="E30" s="3" t="s">
        <v>24</v>
      </c>
      <c r="F30" s="3" t="s">
        <v>41</v>
      </c>
      <c r="G30" s="3" t="s">
        <v>25</v>
      </c>
      <c r="H30" s="4">
        <v>46299</v>
      </c>
      <c r="I30" s="5">
        <v>8.1</v>
      </c>
      <c r="J30" s="3" t="s">
        <v>16</v>
      </c>
    </row>
    <row r="31" spans="1:10" hidden="1" x14ac:dyDescent="0.3">
      <c r="A31" s="2">
        <v>30</v>
      </c>
      <c r="B31" s="2" t="s">
        <v>115</v>
      </c>
      <c r="C31" s="3" t="s">
        <v>116</v>
      </c>
      <c r="D31" s="3" t="s">
        <v>117</v>
      </c>
      <c r="E31" s="3" t="s">
        <v>34</v>
      </c>
      <c r="F31" s="3" t="s">
        <v>35</v>
      </c>
      <c r="G31" s="3" t="s">
        <v>42</v>
      </c>
      <c r="H31" s="4">
        <v>46309</v>
      </c>
      <c r="I31" s="5">
        <v>7.4</v>
      </c>
      <c r="J31" s="3" t="s">
        <v>16</v>
      </c>
    </row>
    <row r="32" spans="1:10" hidden="1" x14ac:dyDescent="0.3">
      <c r="A32" s="2">
        <v>31</v>
      </c>
      <c r="B32" s="2" t="s">
        <v>118</v>
      </c>
      <c r="C32" s="3" t="s">
        <v>119</v>
      </c>
      <c r="D32" s="3" t="s">
        <v>120</v>
      </c>
      <c r="E32" s="3" t="s">
        <v>40</v>
      </c>
      <c r="F32" s="3" t="s">
        <v>68</v>
      </c>
      <c r="G32" s="3" t="s">
        <v>15</v>
      </c>
      <c r="H32" s="4">
        <v>46301</v>
      </c>
      <c r="I32" s="5">
        <v>3.1</v>
      </c>
      <c r="J32" s="3" t="s">
        <v>16</v>
      </c>
    </row>
    <row r="33" spans="1:10" x14ac:dyDescent="0.3">
      <c r="A33" s="2">
        <v>32</v>
      </c>
      <c r="B33" s="2" t="s">
        <v>121</v>
      </c>
      <c r="C33" s="3" t="s">
        <v>122</v>
      </c>
      <c r="D33" s="3" t="s">
        <v>123</v>
      </c>
      <c r="E33" s="3" t="s">
        <v>34</v>
      </c>
      <c r="F33" s="3" t="s">
        <v>68</v>
      </c>
      <c r="G33" s="3" t="s">
        <v>36</v>
      </c>
      <c r="H33" s="4">
        <v>46300</v>
      </c>
      <c r="I33" s="5">
        <v>5.3</v>
      </c>
      <c r="J33" s="3" t="s">
        <v>30</v>
      </c>
    </row>
    <row r="34" spans="1:10" x14ac:dyDescent="0.3">
      <c r="A34" s="2">
        <v>33</v>
      </c>
      <c r="B34" s="2" t="s">
        <v>124</v>
      </c>
      <c r="C34" s="3" t="s">
        <v>125</v>
      </c>
      <c r="D34" s="3" t="s">
        <v>126</v>
      </c>
      <c r="E34" s="3" t="s">
        <v>34</v>
      </c>
      <c r="F34" s="3" t="s">
        <v>90</v>
      </c>
      <c r="G34" s="3" t="s">
        <v>42</v>
      </c>
      <c r="H34" s="4">
        <v>46312</v>
      </c>
      <c r="I34" s="5">
        <v>6.2</v>
      </c>
      <c r="J34" s="3" t="s">
        <v>16</v>
      </c>
    </row>
    <row r="35" spans="1:10" hidden="1" x14ac:dyDescent="0.3">
      <c r="A35" s="2">
        <v>34</v>
      </c>
      <c r="B35" s="2" t="s">
        <v>127</v>
      </c>
      <c r="C35" s="3" t="s">
        <v>128</v>
      </c>
      <c r="D35" s="3" t="s">
        <v>129</v>
      </c>
      <c r="E35" s="3" t="s">
        <v>46</v>
      </c>
      <c r="F35" s="3" t="s">
        <v>90</v>
      </c>
      <c r="G35" s="3" t="s">
        <v>36</v>
      </c>
      <c r="H35" s="4">
        <v>46309</v>
      </c>
      <c r="I35" s="5">
        <v>6.1</v>
      </c>
      <c r="J35" s="3" t="s">
        <v>16</v>
      </c>
    </row>
    <row r="36" spans="1:10" hidden="1" x14ac:dyDescent="0.3">
      <c r="A36" s="2">
        <v>35</v>
      </c>
      <c r="B36" s="2" t="s">
        <v>130</v>
      </c>
      <c r="C36" s="3" t="s">
        <v>131</v>
      </c>
      <c r="D36" s="3" t="s">
        <v>132</v>
      </c>
      <c r="E36" s="3" t="s">
        <v>40</v>
      </c>
      <c r="F36" s="3" t="s">
        <v>35</v>
      </c>
      <c r="G36" s="3" t="s">
        <v>25</v>
      </c>
      <c r="H36" s="4">
        <v>46305</v>
      </c>
      <c r="I36" s="5">
        <v>6.4</v>
      </c>
      <c r="J36" s="3" t="s">
        <v>16</v>
      </c>
    </row>
    <row r="37" spans="1:10" x14ac:dyDescent="0.3">
      <c r="A37" s="2">
        <v>36</v>
      </c>
      <c r="B37" s="2" t="s">
        <v>133</v>
      </c>
      <c r="C37" s="3" t="s">
        <v>134</v>
      </c>
      <c r="D37" s="3" t="s">
        <v>135</v>
      </c>
      <c r="E37" s="3" t="s">
        <v>34</v>
      </c>
      <c r="F37" s="3" t="s">
        <v>29</v>
      </c>
      <c r="G37" s="3" t="s">
        <v>42</v>
      </c>
      <c r="H37" s="4">
        <v>46298</v>
      </c>
      <c r="I37" s="5">
        <v>6.5</v>
      </c>
      <c r="J37" s="3" t="s">
        <v>16</v>
      </c>
    </row>
    <row r="38" spans="1:10" hidden="1" x14ac:dyDescent="0.3">
      <c r="A38" s="2">
        <v>37</v>
      </c>
      <c r="B38" s="2" t="s">
        <v>136</v>
      </c>
      <c r="C38" s="3" t="s">
        <v>137</v>
      </c>
      <c r="D38" s="3" t="s">
        <v>138</v>
      </c>
      <c r="E38" s="3" t="s">
        <v>34</v>
      </c>
      <c r="F38" s="3" t="s">
        <v>41</v>
      </c>
      <c r="G38" s="3" t="s">
        <v>42</v>
      </c>
      <c r="H38" s="4">
        <v>46311</v>
      </c>
      <c r="I38" s="5">
        <v>9.4</v>
      </c>
      <c r="J38" s="3" t="s">
        <v>30</v>
      </c>
    </row>
    <row r="39" spans="1:10" hidden="1" x14ac:dyDescent="0.3">
      <c r="A39" s="2">
        <v>38</v>
      </c>
      <c r="B39" s="2" t="s">
        <v>139</v>
      </c>
      <c r="C39" s="3" t="s">
        <v>140</v>
      </c>
      <c r="D39" s="3" t="s">
        <v>141</v>
      </c>
      <c r="E39" s="3" t="s">
        <v>46</v>
      </c>
      <c r="F39" s="3" t="s">
        <v>29</v>
      </c>
      <c r="G39" s="3" t="s">
        <v>42</v>
      </c>
      <c r="H39" s="4">
        <v>46313</v>
      </c>
      <c r="I39" s="5">
        <v>5.7</v>
      </c>
      <c r="J39" s="3" t="s">
        <v>16</v>
      </c>
    </row>
    <row r="40" spans="1:10" hidden="1" x14ac:dyDescent="0.3">
      <c r="A40" s="2">
        <v>39</v>
      </c>
      <c r="B40" s="2" t="s">
        <v>142</v>
      </c>
      <c r="C40" s="3" t="s">
        <v>143</v>
      </c>
      <c r="D40" s="3" t="s">
        <v>144</v>
      </c>
      <c r="E40" s="3" t="s">
        <v>34</v>
      </c>
      <c r="F40" s="3" t="s">
        <v>41</v>
      </c>
      <c r="G40" s="3" t="s">
        <v>15</v>
      </c>
      <c r="H40" s="4">
        <v>46317</v>
      </c>
      <c r="I40" s="5">
        <v>8.9</v>
      </c>
      <c r="J40" s="3" t="s">
        <v>30</v>
      </c>
    </row>
    <row r="41" spans="1:10" hidden="1" x14ac:dyDescent="0.3">
      <c r="A41" s="2">
        <v>40</v>
      </c>
      <c r="B41" s="2" t="s">
        <v>145</v>
      </c>
      <c r="C41" s="3" t="s">
        <v>146</v>
      </c>
      <c r="D41" s="3" t="s">
        <v>147</v>
      </c>
      <c r="E41" s="3" t="s">
        <v>34</v>
      </c>
      <c r="F41" s="3" t="s">
        <v>14</v>
      </c>
      <c r="G41" s="3" t="s">
        <v>15</v>
      </c>
      <c r="H41" s="4">
        <v>46313</v>
      </c>
      <c r="I41" s="5">
        <v>9.9</v>
      </c>
      <c r="J41" s="3" t="s">
        <v>16</v>
      </c>
    </row>
    <row r="42" spans="1:10" hidden="1" x14ac:dyDescent="0.3">
      <c r="A42" s="2">
        <v>41</v>
      </c>
      <c r="B42" s="2" t="s">
        <v>148</v>
      </c>
      <c r="C42" s="3" t="s">
        <v>149</v>
      </c>
      <c r="D42" s="3" t="s">
        <v>150</v>
      </c>
      <c r="E42" s="3" t="s">
        <v>40</v>
      </c>
      <c r="F42" s="3" t="s">
        <v>29</v>
      </c>
      <c r="G42" s="3" t="s">
        <v>42</v>
      </c>
      <c r="H42" s="4">
        <v>46300</v>
      </c>
      <c r="I42" s="5">
        <v>6.5</v>
      </c>
      <c r="J42" s="3" t="s">
        <v>30</v>
      </c>
    </row>
    <row r="43" spans="1:10" x14ac:dyDescent="0.3">
      <c r="A43" s="2">
        <v>42</v>
      </c>
      <c r="B43" s="2" t="s">
        <v>151</v>
      </c>
      <c r="C43" s="3" t="s">
        <v>152</v>
      </c>
      <c r="D43" s="3" t="s">
        <v>153</v>
      </c>
      <c r="E43" s="3" t="s">
        <v>34</v>
      </c>
      <c r="F43" s="3" t="s">
        <v>20</v>
      </c>
      <c r="G43" s="3" t="s">
        <v>15</v>
      </c>
      <c r="H43" s="4">
        <v>46308</v>
      </c>
      <c r="I43" s="5">
        <v>4.0999999999999996</v>
      </c>
      <c r="J43" s="3" t="s">
        <v>30</v>
      </c>
    </row>
    <row r="44" spans="1:10" hidden="1" x14ac:dyDescent="0.3">
      <c r="A44" s="2">
        <v>43</v>
      </c>
      <c r="B44" s="2" t="s">
        <v>154</v>
      </c>
      <c r="C44" s="3" t="s">
        <v>155</v>
      </c>
      <c r="D44" s="3" t="s">
        <v>156</v>
      </c>
      <c r="E44" s="3" t="s">
        <v>24</v>
      </c>
      <c r="F44" s="3" t="s">
        <v>29</v>
      </c>
      <c r="G44" s="3" t="s">
        <v>15</v>
      </c>
      <c r="H44" s="4">
        <v>46297</v>
      </c>
      <c r="I44" s="5">
        <v>6.4</v>
      </c>
      <c r="J44" s="3" t="s">
        <v>30</v>
      </c>
    </row>
    <row r="45" spans="1:10" hidden="1" x14ac:dyDescent="0.3">
      <c r="A45" s="2">
        <v>44</v>
      </c>
      <c r="B45" s="2" t="s">
        <v>157</v>
      </c>
      <c r="C45" s="3" t="s">
        <v>158</v>
      </c>
      <c r="D45" s="3" t="s">
        <v>159</v>
      </c>
      <c r="E45" s="3" t="s">
        <v>34</v>
      </c>
      <c r="F45" s="3" t="s">
        <v>20</v>
      </c>
      <c r="G45" s="3" t="s">
        <v>42</v>
      </c>
      <c r="H45" s="4">
        <v>46321</v>
      </c>
      <c r="I45" s="5">
        <v>7.4</v>
      </c>
      <c r="J45" s="3" t="s">
        <v>16</v>
      </c>
    </row>
    <row r="46" spans="1:10" hidden="1" x14ac:dyDescent="0.3">
      <c r="A46" s="2">
        <v>45</v>
      </c>
      <c r="B46" s="2" t="s">
        <v>160</v>
      </c>
      <c r="C46" s="3" t="s">
        <v>161</v>
      </c>
      <c r="D46" s="3" t="s">
        <v>162</v>
      </c>
      <c r="E46" s="3" t="s">
        <v>46</v>
      </c>
      <c r="F46" s="3" t="s">
        <v>90</v>
      </c>
      <c r="G46" s="3" t="s">
        <v>15</v>
      </c>
      <c r="H46" s="4">
        <v>46311</v>
      </c>
      <c r="I46" s="5">
        <v>9.5</v>
      </c>
      <c r="J46" s="3" t="s">
        <v>16</v>
      </c>
    </row>
    <row r="47" spans="1:10" hidden="1" x14ac:dyDescent="0.3">
      <c r="A47" s="2">
        <v>46</v>
      </c>
      <c r="B47" s="2" t="s">
        <v>163</v>
      </c>
      <c r="C47" s="3" t="s">
        <v>164</v>
      </c>
      <c r="D47" s="3" t="s">
        <v>165</v>
      </c>
      <c r="E47" s="3" t="s">
        <v>24</v>
      </c>
      <c r="F47" s="3" t="s">
        <v>20</v>
      </c>
      <c r="G47" s="3" t="s">
        <v>25</v>
      </c>
      <c r="H47" s="4">
        <v>46321</v>
      </c>
      <c r="I47" s="5">
        <v>6.5</v>
      </c>
      <c r="J47" s="3" t="s">
        <v>30</v>
      </c>
    </row>
    <row r="48" spans="1:10" hidden="1" x14ac:dyDescent="0.3">
      <c r="A48" s="2">
        <v>47</v>
      </c>
      <c r="B48" s="2" t="s">
        <v>166</v>
      </c>
      <c r="C48" s="3" t="s">
        <v>167</v>
      </c>
      <c r="D48" s="3" t="s">
        <v>168</v>
      </c>
      <c r="E48" s="3" t="s">
        <v>40</v>
      </c>
      <c r="F48" s="3" t="s">
        <v>14</v>
      </c>
      <c r="G48" s="3" t="s">
        <v>42</v>
      </c>
      <c r="H48" s="4">
        <v>46319</v>
      </c>
      <c r="I48" s="5">
        <v>7.8</v>
      </c>
      <c r="J48" s="3" t="s">
        <v>16</v>
      </c>
    </row>
    <row r="49" spans="1:10" x14ac:dyDescent="0.3">
      <c r="A49" s="2">
        <v>48</v>
      </c>
      <c r="B49" s="2" t="s">
        <v>169</v>
      </c>
      <c r="C49" s="3" t="s">
        <v>170</v>
      </c>
      <c r="D49" s="3" t="s">
        <v>171</v>
      </c>
      <c r="E49" s="3" t="s">
        <v>34</v>
      </c>
      <c r="F49" s="3" t="s">
        <v>35</v>
      </c>
      <c r="G49" s="3" t="s">
        <v>36</v>
      </c>
      <c r="H49" s="4">
        <v>46319</v>
      </c>
      <c r="I49" s="5">
        <v>6.5</v>
      </c>
      <c r="J49" s="3" t="s">
        <v>16</v>
      </c>
    </row>
    <row r="50" spans="1:10" hidden="1" x14ac:dyDescent="0.3">
      <c r="A50" s="2">
        <v>49</v>
      </c>
      <c r="B50" s="2" t="s">
        <v>172</v>
      </c>
      <c r="C50" s="3" t="s">
        <v>173</v>
      </c>
      <c r="D50" s="3" t="s">
        <v>174</v>
      </c>
      <c r="E50" s="3" t="s">
        <v>24</v>
      </c>
      <c r="F50" s="3" t="s">
        <v>14</v>
      </c>
      <c r="G50" s="3" t="s">
        <v>15</v>
      </c>
      <c r="H50" s="4">
        <v>46321</v>
      </c>
      <c r="I50" s="5">
        <v>9.1</v>
      </c>
      <c r="J50" s="3" t="s">
        <v>30</v>
      </c>
    </row>
    <row r="51" spans="1:10" hidden="1" x14ac:dyDescent="0.3">
      <c r="A51" s="2">
        <v>50</v>
      </c>
      <c r="B51" s="2" t="s">
        <v>175</v>
      </c>
      <c r="C51" s="3" t="s">
        <v>176</v>
      </c>
      <c r="D51" s="3" t="s">
        <v>177</v>
      </c>
      <c r="E51" s="3" t="s">
        <v>24</v>
      </c>
      <c r="F51" s="3" t="s">
        <v>29</v>
      </c>
      <c r="G51" s="3" t="s">
        <v>42</v>
      </c>
      <c r="H51" s="4">
        <v>46296</v>
      </c>
      <c r="I51" s="5">
        <v>9.6999999999999993</v>
      </c>
      <c r="J51" s="3" t="s">
        <v>16</v>
      </c>
    </row>
    <row r="52" spans="1:10" x14ac:dyDescent="0.3">
      <c r="A52" s="2">
        <v>51</v>
      </c>
      <c r="B52" s="2" t="s">
        <v>178</v>
      </c>
      <c r="C52" s="3" t="s">
        <v>179</v>
      </c>
      <c r="D52" s="3" t="s">
        <v>180</v>
      </c>
      <c r="E52" s="3" t="s">
        <v>34</v>
      </c>
      <c r="F52" s="3" t="s">
        <v>35</v>
      </c>
      <c r="G52" s="3" t="s">
        <v>25</v>
      </c>
      <c r="H52" s="4">
        <v>46321</v>
      </c>
      <c r="I52" s="5">
        <v>6.6</v>
      </c>
      <c r="J52" s="3" t="s">
        <v>30</v>
      </c>
    </row>
    <row r="53" spans="1:10" hidden="1" x14ac:dyDescent="0.3">
      <c r="A53" s="2">
        <v>52</v>
      </c>
      <c r="B53" s="2" t="s">
        <v>181</v>
      </c>
      <c r="C53" s="3" t="s">
        <v>182</v>
      </c>
      <c r="D53" s="3" t="s">
        <v>183</v>
      </c>
      <c r="E53" s="3" t="s">
        <v>34</v>
      </c>
      <c r="F53" s="3" t="s">
        <v>14</v>
      </c>
      <c r="G53" s="3" t="s">
        <v>42</v>
      </c>
      <c r="H53" s="4">
        <v>46319</v>
      </c>
      <c r="I53" s="5">
        <v>9.1999999999999993</v>
      </c>
      <c r="J53" s="3" t="s">
        <v>30</v>
      </c>
    </row>
    <row r="54" spans="1:10" hidden="1" x14ac:dyDescent="0.3">
      <c r="A54" s="2">
        <v>53</v>
      </c>
      <c r="B54" s="2" t="s">
        <v>184</v>
      </c>
      <c r="C54" s="3" t="s">
        <v>185</v>
      </c>
      <c r="D54" s="3" t="s">
        <v>186</v>
      </c>
      <c r="E54" s="3" t="s">
        <v>13</v>
      </c>
      <c r="F54" s="3" t="s">
        <v>20</v>
      </c>
      <c r="G54" s="3" t="s">
        <v>42</v>
      </c>
      <c r="H54" s="4">
        <v>46303</v>
      </c>
      <c r="I54" s="5">
        <v>8.6999999999999993</v>
      </c>
      <c r="J54" s="3" t="s">
        <v>30</v>
      </c>
    </row>
    <row r="55" spans="1:10" hidden="1" x14ac:dyDescent="0.3">
      <c r="A55" s="2">
        <v>54</v>
      </c>
      <c r="B55" s="2" t="s">
        <v>187</v>
      </c>
      <c r="C55" s="3" t="s">
        <v>188</v>
      </c>
      <c r="D55" s="3" t="s">
        <v>189</v>
      </c>
      <c r="E55" s="3" t="s">
        <v>34</v>
      </c>
      <c r="F55" s="3" t="s">
        <v>90</v>
      </c>
      <c r="G55" s="3" t="s">
        <v>15</v>
      </c>
      <c r="H55" s="4">
        <v>46297</v>
      </c>
      <c r="I55" s="5">
        <v>8.4</v>
      </c>
      <c r="J55" s="3" t="s">
        <v>16</v>
      </c>
    </row>
    <row r="56" spans="1:10" hidden="1" x14ac:dyDescent="0.3">
      <c r="A56" s="2">
        <v>55</v>
      </c>
      <c r="B56" s="2" t="s">
        <v>190</v>
      </c>
      <c r="C56" s="3" t="s">
        <v>191</v>
      </c>
      <c r="D56" s="3" t="s">
        <v>192</v>
      </c>
      <c r="E56" s="3" t="s">
        <v>13</v>
      </c>
      <c r="F56" s="3" t="s">
        <v>29</v>
      </c>
      <c r="G56" s="3" t="s">
        <v>25</v>
      </c>
      <c r="H56" s="4">
        <v>46320</v>
      </c>
      <c r="I56" s="5">
        <v>7.9</v>
      </c>
      <c r="J56" s="3" t="s">
        <v>16</v>
      </c>
    </row>
    <row r="57" spans="1:10" hidden="1" x14ac:dyDescent="0.3">
      <c r="A57" s="2">
        <v>56</v>
      </c>
      <c r="B57" s="2" t="s">
        <v>193</v>
      </c>
      <c r="C57" s="3" t="s">
        <v>194</v>
      </c>
      <c r="D57" s="3" t="s">
        <v>195</v>
      </c>
      <c r="E57" s="3" t="s">
        <v>46</v>
      </c>
      <c r="F57" s="3" t="s">
        <v>90</v>
      </c>
      <c r="G57" s="3" t="s">
        <v>25</v>
      </c>
      <c r="H57" s="4">
        <v>46305</v>
      </c>
      <c r="I57" s="5">
        <v>7.6</v>
      </c>
      <c r="J57" s="3" t="s">
        <v>16</v>
      </c>
    </row>
    <row r="58" spans="1:10" hidden="1" x14ac:dyDescent="0.3">
      <c r="A58" s="2">
        <v>57</v>
      </c>
      <c r="B58" s="2" t="s">
        <v>196</v>
      </c>
      <c r="C58" s="3" t="s">
        <v>197</v>
      </c>
      <c r="D58" s="3" t="s">
        <v>198</v>
      </c>
      <c r="E58" s="3" t="s">
        <v>24</v>
      </c>
      <c r="F58" s="3" t="s">
        <v>29</v>
      </c>
      <c r="G58" s="3" t="s">
        <v>15</v>
      </c>
      <c r="H58" s="4">
        <v>46298</v>
      </c>
      <c r="I58" s="5">
        <v>3.8</v>
      </c>
      <c r="J58" s="3" t="s">
        <v>30</v>
      </c>
    </row>
    <row r="59" spans="1:10" hidden="1" x14ac:dyDescent="0.3">
      <c r="A59" s="2">
        <v>58</v>
      </c>
      <c r="B59" s="2" t="s">
        <v>199</v>
      </c>
      <c r="C59" s="3" t="s">
        <v>200</v>
      </c>
      <c r="D59" s="3" t="s">
        <v>201</v>
      </c>
      <c r="E59" s="3" t="s">
        <v>24</v>
      </c>
      <c r="F59" s="3" t="s">
        <v>41</v>
      </c>
      <c r="G59" s="3" t="s">
        <v>42</v>
      </c>
      <c r="H59" s="4">
        <v>46319</v>
      </c>
      <c r="I59" s="5">
        <v>9.6999999999999993</v>
      </c>
      <c r="J59" s="3" t="s">
        <v>16</v>
      </c>
    </row>
    <row r="60" spans="1:10" hidden="1" x14ac:dyDescent="0.3">
      <c r="A60" s="2">
        <v>59</v>
      </c>
      <c r="B60" s="2" t="s">
        <v>202</v>
      </c>
      <c r="C60" s="3" t="s">
        <v>203</v>
      </c>
      <c r="D60" s="3" t="s">
        <v>204</v>
      </c>
      <c r="E60" s="3" t="s">
        <v>24</v>
      </c>
      <c r="F60" s="3" t="s">
        <v>41</v>
      </c>
      <c r="G60" s="3" t="s">
        <v>42</v>
      </c>
      <c r="H60" s="4">
        <v>46302</v>
      </c>
      <c r="I60" s="5">
        <v>5.4</v>
      </c>
      <c r="J60" s="3" t="s">
        <v>16</v>
      </c>
    </row>
    <row r="61" spans="1:10" hidden="1" x14ac:dyDescent="0.3">
      <c r="A61" s="2">
        <v>60</v>
      </c>
      <c r="B61" s="2" t="s">
        <v>205</v>
      </c>
      <c r="C61" s="3" t="s">
        <v>206</v>
      </c>
      <c r="D61" s="3" t="s">
        <v>207</v>
      </c>
      <c r="E61" s="3" t="s">
        <v>46</v>
      </c>
      <c r="F61" s="3" t="s">
        <v>41</v>
      </c>
      <c r="G61" s="3" t="s">
        <v>42</v>
      </c>
      <c r="H61" s="4">
        <v>46314</v>
      </c>
      <c r="I61" s="5">
        <v>3.4</v>
      </c>
      <c r="J61" s="3" t="s">
        <v>16</v>
      </c>
    </row>
    <row r="62" spans="1:10" hidden="1" x14ac:dyDescent="0.3">
      <c r="A62" s="2">
        <v>61</v>
      </c>
      <c r="B62" s="2" t="s">
        <v>208</v>
      </c>
      <c r="C62" s="3" t="s">
        <v>209</v>
      </c>
      <c r="D62" s="3" t="s">
        <v>210</v>
      </c>
      <c r="E62" s="3" t="s">
        <v>34</v>
      </c>
      <c r="F62" s="3" t="s">
        <v>68</v>
      </c>
      <c r="G62" s="3" t="s">
        <v>25</v>
      </c>
      <c r="H62" s="4">
        <v>46299</v>
      </c>
      <c r="I62" s="5">
        <v>8.4</v>
      </c>
      <c r="J62" s="3" t="s">
        <v>30</v>
      </c>
    </row>
    <row r="63" spans="1:10" hidden="1" x14ac:dyDescent="0.3">
      <c r="A63" s="2">
        <v>62</v>
      </c>
      <c r="B63" s="2" t="s">
        <v>211</v>
      </c>
      <c r="C63" s="3" t="s">
        <v>212</v>
      </c>
      <c r="D63" s="3" t="s">
        <v>213</v>
      </c>
      <c r="E63" s="3" t="s">
        <v>46</v>
      </c>
      <c r="F63" s="3" t="s">
        <v>29</v>
      </c>
      <c r="G63" s="3" t="s">
        <v>15</v>
      </c>
      <c r="H63" s="4">
        <v>46309</v>
      </c>
      <c r="I63" s="5">
        <v>5.8</v>
      </c>
      <c r="J63" s="3" t="s">
        <v>30</v>
      </c>
    </row>
    <row r="64" spans="1:10" hidden="1" x14ac:dyDescent="0.3">
      <c r="A64" s="2">
        <v>63</v>
      </c>
      <c r="B64" s="2" t="s">
        <v>214</v>
      </c>
      <c r="C64" s="3" t="s">
        <v>215</v>
      </c>
      <c r="D64" s="3" t="s">
        <v>216</v>
      </c>
      <c r="E64" s="3" t="s">
        <v>40</v>
      </c>
      <c r="F64" s="3" t="s">
        <v>14</v>
      </c>
      <c r="G64" s="3" t="s">
        <v>36</v>
      </c>
      <c r="H64" s="4">
        <v>46304</v>
      </c>
      <c r="I64" s="5">
        <v>4.7</v>
      </c>
      <c r="J64" s="3" t="s">
        <v>16</v>
      </c>
    </row>
    <row r="65" spans="1:10" hidden="1" x14ac:dyDescent="0.3">
      <c r="A65" s="2">
        <v>64</v>
      </c>
      <c r="B65" s="2" t="s">
        <v>217</v>
      </c>
      <c r="C65" s="3" t="s">
        <v>218</v>
      </c>
      <c r="D65" s="3" t="s">
        <v>219</v>
      </c>
      <c r="E65" s="3" t="s">
        <v>24</v>
      </c>
      <c r="F65" s="3" t="s">
        <v>68</v>
      </c>
      <c r="G65" s="3" t="s">
        <v>36</v>
      </c>
      <c r="H65" s="4">
        <v>46307</v>
      </c>
      <c r="I65" s="5">
        <v>8.3000000000000007</v>
      </c>
      <c r="J65" s="3" t="s">
        <v>30</v>
      </c>
    </row>
    <row r="66" spans="1:10" hidden="1" x14ac:dyDescent="0.3">
      <c r="A66" s="2">
        <v>65</v>
      </c>
      <c r="B66" s="2" t="s">
        <v>220</v>
      </c>
      <c r="C66" s="3" t="s">
        <v>221</v>
      </c>
      <c r="D66" s="3" t="s">
        <v>222</v>
      </c>
      <c r="E66" s="3" t="s">
        <v>13</v>
      </c>
      <c r="F66" s="3" t="s">
        <v>29</v>
      </c>
      <c r="G66" s="3" t="s">
        <v>42</v>
      </c>
      <c r="H66" s="4">
        <v>46302</v>
      </c>
      <c r="I66" s="5">
        <v>6.6</v>
      </c>
      <c r="J66" s="3" t="s">
        <v>30</v>
      </c>
    </row>
    <row r="67" spans="1:10" hidden="1" x14ac:dyDescent="0.3">
      <c r="A67" s="2">
        <v>66</v>
      </c>
      <c r="B67" s="2" t="s">
        <v>223</v>
      </c>
      <c r="C67" s="3" t="s">
        <v>224</v>
      </c>
      <c r="D67" s="3" t="s">
        <v>225</v>
      </c>
      <c r="E67" s="3" t="s">
        <v>34</v>
      </c>
      <c r="F67" s="3" t="s">
        <v>35</v>
      </c>
      <c r="G67" s="3" t="s">
        <v>36</v>
      </c>
      <c r="H67" s="4">
        <v>46303</v>
      </c>
      <c r="I67" s="5">
        <v>8.9</v>
      </c>
      <c r="J67" s="3" t="s">
        <v>16</v>
      </c>
    </row>
    <row r="68" spans="1:10" hidden="1" x14ac:dyDescent="0.3">
      <c r="A68" s="2">
        <v>67</v>
      </c>
      <c r="B68" s="2" t="s">
        <v>226</v>
      </c>
      <c r="C68" s="3" t="s">
        <v>227</v>
      </c>
      <c r="D68" s="3" t="s">
        <v>228</v>
      </c>
      <c r="E68" s="3" t="s">
        <v>34</v>
      </c>
      <c r="F68" s="3" t="s">
        <v>90</v>
      </c>
      <c r="G68" s="3" t="s">
        <v>15</v>
      </c>
      <c r="H68" s="4">
        <v>46303</v>
      </c>
      <c r="I68" s="5">
        <v>8.6999999999999993</v>
      </c>
      <c r="J68" s="3" t="s">
        <v>16</v>
      </c>
    </row>
    <row r="69" spans="1:10" hidden="1" x14ac:dyDescent="0.3">
      <c r="A69" s="2">
        <v>68</v>
      </c>
      <c r="B69" s="2" t="s">
        <v>229</v>
      </c>
      <c r="C69" s="3" t="s">
        <v>230</v>
      </c>
      <c r="D69" s="3" t="s">
        <v>231</v>
      </c>
      <c r="E69" s="3" t="s">
        <v>13</v>
      </c>
      <c r="F69" s="3" t="s">
        <v>35</v>
      </c>
      <c r="G69" s="3" t="s">
        <v>36</v>
      </c>
      <c r="H69" s="4">
        <v>46307</v>
      </c>
      <c r="I69" s="5">
        <v>6.4</v>
      </c>
      <c r="J69" s="3" t="s">
        <v>16</v>
      </c>
    </row>
    <row r="70" spans="1:10" x14ac:dyDescent="0.3">
      <c r="A70" s="2">
        <v>69</v>
      </c>
      <c r="B70" s="2" t="s">
        <v>232</v>
      </c>
      <c r="C70" s="3" t="s">
        <v>233</v>
      </c>
      <c r="D70" s="3" t="s">
        <v>234</v>
      </c>
      <c r="E70" s="3" t="s">
        <v>34</v>
      </c>
      <c r="F70" s="3" t="s">
        <v>90</v>
      </c>
      <c r="G70" s="3" t="s">
        <v>42</v>
      </c>
      <c r="H70" s="4">
        <v>46311</v>
      </c>
      <c r="I70" s="5">
        <v>5.7</v>
      </c>
      <c r="J70" s="3" t="s">
        <v>16</v>
      </c>
    </row>
    <row r="71" spans="1:10" hidden="1" x14ac:dyDescent="0.3">
      <c r="A71" s="2">
        <v>70</v>
      </c>
      <c r="B71" s="2" t="s">
        <v>235</v>
      </c>
      <c r="C71" s="3" t="s">
        <v>236</v>
      </c>
      <c r="D71" s="3" t="s">
        <v>237</v>
      </c>
      <c r="E71" s="3" t="s">
        <v>34</v>
      </c>
      <c r="F71" s="3" t="s">
        <v>20</v>
      </c>
      <c r="G71" s="3" t="s">
        <v>15</v>
      </c>
      <c r="H71" s="4">
        <v>46315</v>
      </c>
      <c r="I71" s="5">
        <v>9.1999999999999993</v>
      </c>
      <c r="J71" s="3" t="s">
        <v>16</v>
      </c>
    </row>
    <row r="72" spans="1:10" hidden="1" x14ac:dyDescent="0.3">
      <c r="A72" s="2">
        <v>71</v>
      </c>
      <c r="B72" s="2" t="s">
        <v>238</v>
      </c>
      <c r="C72" s="3" t="s">
        <v>239</v>
      </c>
      <c r="D72" s="3" t="s">
        <v>240</v>
      </c>
      <c r="E72" s="3" t="s">
        <v>13</v>
      </c>
      <c r="F72" s="3" t="s">
        <v>29</v>
      </c>
      <c r="G72" s="3" t="s">
        <v>42</v>
      </c>
      <c r="H72" s="4">
        <v>46321</v>
      </c>
      <c r="I72" s="5">
        <v>9.4</v>
      </c>
      <c r="J72" s="3" t="s">
        <v>16</v>
      </c>
    </row>
    <row r="73" spans="1:10" hidden="1" x14ac:dyDescent="0.3">
      <c r="A73" s="2">
        <v>72</v>
      </c>
      <c r="B73" s="2" t="s">
        <v>241</v>
      </c>
      <c r="C73" s="3" t="s">
        <v>242</v>
      </c>
      <c r="D73" s="3" t="s">
        <v>243</v>
      </c>
      <c r="E73" s="3" t="s">
        <v>34</v>
      </c>
      <c r="F73" s="3" t="s">
        <v>20</v>
      </c>
      <c r="G73" s="3" t="s">
        <v>15</v>
      </c>
      <c r="H73" s="4">
        <v>46313</v>
      </c>
      <c r="I73" s="5">
        <v>9.1999999999999993</v>
      </c>
      <c r="J73" s="3" t="s">
        <v>30</v>
      </c>
    </row>
    <row r="74" spans="1:10" hidden="1" x14ac:dyDescent="0.3">
      <c r="A74" s="2">
        <v>73</v>
      </c>
      <c r="B74" s="2" t="s">
        <v>244</v>
      </c>
      <c r="C74" s="3" t="s">
        <v>245</v>
      </c>
      <c r="D74" s="3" t="s">
        <v>246</v>
      </c>
      <c r="E74" s="3" t="s">
        <v>46</v>
      </c>
      <c r="F74" s="3" t="s">
        <v>14</v>
      </c>
      <c r="G74" s="3" t="s">
        <v>42</v>
      </c>
      <c r="H74" s="4">
        <v>46314</v>
      </c>
      <c r="I74" s="5">
        <v>4.4000000000000004</v>
      </c>
      <c r="J74" s="3" t="s">
        <v>16</v>
      </c>
    </row>
    <row r="75" spans="1:10" hidden="1" x14ac:dyDescent="0.3">
      <c r="A75" s="2">
        <v>74</v>
      </c>
      <c r="B75" s="2" t="s">
        <v>247</v>
      </c>
      <c r="C75" s="3" t="s">
        <v>248</v>
      </c>
      <c r="D75" s="3" t="s">
        <v>249</v>
      </c>
      <c r="E75" s="3" t="s">
        <v>34</v>
      </c>
      <c r="F75" s="3" t="s">
        <v>14</v>
      </c>
      <c r="G75" s="3" t="s">
        <v>25</v>
      </c>
      <c r="H75" s="4">
        <v>46303</v>
      </c>
      <c r="I75" s="5">
        <v>7.1</v>
      </c>
      <c r="J75" s="3" t="s">
        <v>16</v>
      </c>
    </row>
    <row r="76" spans="1:10" hidden="1" x14ac:dyDescent="0.3">
      <c r="A76" s="2">
        <v>75</v>
      </c>
      <c r="B76" s="2" t="s">
        <v>250</v>
      </c>
      <c r="C76" s="3" t="s">
        <v>251</v>
      </c>
      <c r="D76" s="3" t="s">
        <v>252</v>
      </c>
      <c r="E76" s="3" t="s">
        <v>46</v>
      </c>
      <c r="F76" s="3" t="s">
        <v>35</v>
      </c>
      <c r="G76" s="3" t="s">
        <v>36</v>
      </c>
      <c r="H76" s="4">
        <v>46305</v>
      </c>
      <c r="I76" s="5">
        <v>9</v>
      </c>
      <c r="J76" s="3" t="s">
        <v>16</v>
      </c>
    </row>
    <row r="77" spans="1:10" hidden="1" x14ac:dyDescent="0.3">
      <c r="A77" s="2">
        <v>76</v>
      </c>
      <c r="B77" s="2" t="s">
        <v>253</v>
      </c>
      <c r="C77" s="3" t="s">
        <v>254</v>
      </c>
      <c r="D77" s="3" t="s">
        <v>255</v>
      </c>
      <c r="E77" s="3" t="s">
        <v>13</v>
      </c>
      <c r="F77" s="3" t="s">
        <v>29</v>
      </c>
      <c r="G77" s="3" t="s">
        <v>15</v>
      </c>
      <c r="H77" s="4">
        <v>46317</v>
      </c>
      <c r="I77" s="5">
        <v>9.5</v>
      </c>
      <c r="J77" s="3" t="s">
        <v>30</v>
      </c>
    </row>
    <row r="78" spans="1:10" hidden="1" x14ac:dyDescent="0.3">
      <c r="A78" s="2">
        <v>77</v>
      </c>
      <c r="B78" s="2" t="s">
        <v>256</v>
      </c>
      <c r="C78" s="3" t="s">
        <v>257</v>
      </c>
      <c r="D78" s="3" t="s">
        <v>258</v>
      </c>
      <c r="E78" s="3" t="s">
        <v>34</v>
      </c>
      <c r="F78" s="3" t="s">
        <v>20</v>
      </c>
      <c r="G78" s="3" t="s">
        <v>15</v>
      </c>
      <c r="H78" s="4">
        <v>46313</v>
      </c>
      <c r="I78" s="5">
        <v>7</v>
      </c>
      <c r="J78" s="3" t="s">
        <v>16</v>
      </c>
    </row>
    <row r="79" spans="1:10" hidden="1" x14ac:dyDescent="0.3">
      <c r="A79" s="2">
        <v>78</v>
      </c>
      <c r="B79" s="2" t="s">
        <v>259</v>
      </c>
      <c r="C79" s="3" t="s">
        <v>260</v>
      </c>
      <c r="D79" s="3" t="s">
        <v>261</v>
      </c>
      <c r="E79" s="3" t="s">
        <v>24</v>
      </c>
      <c r="F79" s="3" t="s">
        <v>20</v>
      </c>
      <c r="G79" s="3" t="s">
        <v>42</v>
      </c>
      <c r="H79" s="4">
        <v>46309</v>
      </c>
      <c r="I79" s="5">
        <v>8.9</v>
      </c>
      <c r="J79" s="3" t="s">
        <v>16</v>
      </c>
    </row>
    <row r="80" spans="1:10" hidden="1" x14ac:dyDescent="0.3">
      <c r="A80" s="2">
        <v>79</v>
      </c>
      <c r="B80" s="2" t="s">
        <v>262</v>
      </c>
      <c r="C80" s="3" t="s">
        <v>263</v>
      </c>
      <c r="D80" s="3" t="s">
        <v>264</v>
      </c>
      <c r="E80" s="3" t="s">
        <v>46</v>
      </c>
      <c r="F80" s="3" t="s">
        <v>20</v>
      </c>
      <c r="G80" s="3" t="s">
        <v>15</v>
      </c>
      <c r="H80" s="4">
        <v>46306</v>
      </c>
      <c r="I80" s="5">
        <v>3.9</v>
      </c>
      <c r="J80" s="3" t="s">
        <v>16</v>
      </c>
    </row>
    <row r="81" spans="1:10" hidden="1" x14ac:dyDescent="0.3">
      <c r="A81" s="2">
        <v>80</v>
      </c>
      <c r="B81" s="2" t="s">
        <v>265</v>
      </c>
      <c r="C81" s="3" t="s">
        <v>266</v>
      </c>
      <c r="D81" s="3" t="s">
        <v>267</v>
      </c>
      <c r="E81" s="3" t="s">
        <v>13</v>
      </c>
      <c r="F81" s="3" t="s">
        <v>90</v>
      </c>
      <c r="G81" s="3" t="s">
        <v>42</v>
      </c>
      <c r="H81" s="4">
        <v>46314</v>
      </c>
      <c r="I81" s="5">
        <v>7.4</v>
      </c>
      <c r="J81" s="3" t="s">
        <v>16</v>
      </c>
    </row>
    <row r="82" spans="1:10" x14ac:dyDescent="0.3">
      <c r="A82" s="2">
        <v>81</v>
      </c>
      <c r="B82" s="2" t="s">
        <v>268</v>
      </c>
      <c r="C82" s="3" t="s">
        <v>269</v>
      </c>
      <c r="D82" s="3" t="s">
        <v>270</v>
      </c>
      <c r="E82" s="3" t="s">
        <v>34</v>
      </c>
      <c r="F82" s="3" t="s">
        <v>14</v>
      </c>
      <c r="G82" s="3" t="s">
        <v>15</v>
      </c>
      <c r="H82" s="4">
        <v>46307</v>
      </c>
      <c r="I82" s="5">
        <v>6.9</v>
      </c>
      <c r="J82" s="3" t="s">
        <v>16</v>
      </c>
    </row>
    <row r="83" spans="1:10" x14ac:dyDescent="0.3">
      <c r="A83" s="2">
        <v>82</v>
      </c>
      <c r="B83" s="2" t="s">
        <v>271</v>
      </c>
      <c r="C83" s="3" t="s">
        <v>272</v>
      </c>
      <c r="D83" s="3" t="s">
        <v>273</v>
      </c>
      <c r="E83" s="3" t="s">
        <v>34</v>
      </c>
      <c r="F83" s="3" t="s">
        <v>20</v>
      </c>
      <c r="G83" s="3" t="s">
        <v>42</v>
      </c>
      <c r="H83" s="4">
        <v>46297</v>
      </c>
      <c r="I83" s="5">
        <v>4</v>
      </c>
      <c r="J83" s="3" t="s">
        <v>30</v>
      </c>
    </row>
    <row r="84" spans="1:10" hidden="1" x14ac:dyDescent="0.3">
      <c r="A84" s="2">
        <v>83</v>
      </c>
      <c r="B84" s="2" t="s">
        <v>274</v>
      </c>
      <c r="C84" s="3" t="s">
        <v>275</v>
      </c>
      <c r="D84" s="3" t="s">
        <v>276</v>
      </c>
      <c r="E84" s="3" t="s">
        <v>24</v>
      </c>
      <c r="F84" s="3" t="s">
        <v>41</v>
      </c>
      <c r="G84" s="3" t="s">
        <v>15</v>
      </c>
      <c r="H84" s="4">
        <v>46307</v>
      </c>
      <c r="I84" s="5">
        <v>3.9</v>
      </c>
      <c r="J84" s="3" t="s">
        <v>30</v>
      </c>
    </row>
    <row r="85" spans="1:10" hidden="1" x14ac:dyDescent="0.3">
      <c r="A85" s="2">
        <v>84</v>
      </c>
      <c r="B85" s="2" t="s">
        <v>277</v>
      </c>
      <c r="C85" s="3" t="s">
        <v>278</v>
      </c>
      <c r="D85" s="3" t="s">
        <v>279</v>
      </c>
      <c r="E85" s="3" t="s">
        <v>46</v>
      </c>
      <c r="F85" s="3" t="s">
        <v>41</v>
      </c>
      <c r="G85" s="3" t="s">
        <v>42</v>
      </c>
      <c r="H85" s="4">
        <v>46311</v>
      </c>
      <c r="I85" s="5">
        <v>6.3</v>
      </c>
      <c r="J85" s="3" t="s">
        <v>16</v>
      </c>
    </row>
    <row r="86" spans="1:10" x14ac:dyDescent="0.3">
      <c r="A86" s="2">
        <v>85</v>
      </c>
      <c r="B86" s="2" t="s">
        <v>280</v>
      </c>
      <c r="C86" s="3" t="s">
        <v>281</v>
      </c>
      <c r="D86" s="3" t="s">
        <v>282</v>
      </c>
      <c r="E86" s="3" t="s">
        <v>34</v>
      </c>
      <c r="F86" s="3" t="s">
        <v>35</v>
      </c>
      <c r="G86" s="3" t="s">
        <v>25</v>
      </c>
      <c r="H86" s="4">
        <v>46313</v>
      </c>
      <c r="I86" s="5">
        <v>4.5999999999999996</v>
      </c>
      <c r="J86" s="3" t="s">
        <v>30</v>
      </c>
    </row>
    <row r="87" spans="1:10" x14ac:dyDescent="0.3">
      <c r="A87" s="2">
        <v>86</v>
      </c>
      <c r="B87" s="2" t="s">
        <v>283</v>
      </c>
      <c r="C87" s="3" t="s">
        <v>284</v>
      </c>
      <c r="D87" s="3" t="s">
        <v>285</v>
      </c>
      <c r="E87" s="3" t="s">
        <v>34</v>
      </c>
      <c r="F87" s="3" t="s">
        <v>14</v>
      </c>
      <c r="G87" s="3" t="s">
        <v>15</v>
      </c>
      <c r="H87" s="4">
        <v>46304</v>
      </c>
      <c r="I87" s="5">
        <v>3.1</v>
      </c>
      <c r="J87" s="3" t="s">
        <v>30</v>
      </c>
    </row>
    <row r="88" spans="1:10" hidden="1" x14ac:dyDescent="0.3">
      <c r="A88" s="2">
        <v>87</v>
      </c>
      <c r="B88" s="2" t="s">
        <v>286</v>
      </c>
      <c r="C88" s="3" t="s">
        <v>287</v>
      </c>
      <c r="D88" s="3" t="s">
        <v>288</v>
      </c>
      <c r="E88" s="3" t="s">
        <v>40</v>
      </c>
      <c r="F88" s="3" t="s">
        <v>90</v>
      </c>
      <c r="G88" s="3" t="s">
        <v>42</v>
      </c>
      <c r="H88" s="4">
        <v>46299</v>
      </c>
      <c r="I88" s="5">
        <v>7</v>
      </c>
      <c r="J88" s="3" t="s">
        <v>16</v>
      </c>
    </row>
    <row r="89" spans="1:10" x14ac:dyDescent="0.3">
      <c r="A89" s="2">
        <v>88</v>
      </c>
      <c r="B89" s="2" t="s">
        <v>289</v>
      </c>
      <c r="C89" s="3" t="s">
        <v>290</v>
      </c>
      <c r="D89" s="3" t="s">
        <v>291</v>
      </c>
      <c r="E89" s="3" t="s">
        <v>34</v>
      </c>
      <c r="F89" s="3" t="s">
        <v>14</v>
      </c>
      <c r="G89" s="3" t="s">
        <v>25</v>
      </c>
      <c r="H89" s="4">
        <v>46321</v>
      </c>
      <c r="I89" s="5">
        <v>3.6</v>
      </c>
      <c r="J89" s="3" t="s">
        <v>16</v>
      </c>
    </row>
    <row r="90" spans="1:10" hidden="1" x14ac:dyDescent="0.3">
      <c r="A90" s="2">
        <v>89</v>
      </c>
      <c r="B90" s="2" t="s">
        <v>292</v>
      </c>
      <c r="C90" s="3" t="s">
        <v>293</v>
      </c>
      <c r="D90" s="3" t="s">
        <v>294</v>
      </c>
      <c r="E90" s="3" t="s">
        <v>34</v>
      </c>
      <c r="F90" s="3" t="s">
        <v>29</v>
      </c>
      <c r="G90" s="3" t="s">
        <v>25</v>
      </c>
      <c r="H90" s="4">
        <v>46296</v>
      </c>
      <c r="I90" s="5">
        <v>7.1</v>
      </c>
      <c r="J90" s="3" t="s">
        <v>16</v>
      </c>
    </row>
    <row r="91" spans="1:10" x14ac:dyDescent="0.3">
      <c r="A91" s="2">
        <v>90</v>
      </c>
      <c r="B91" s="2" t="s">
        <v>295</v>
      </c>
      <c r="C91" s="3" t="s">
        <v>296</v>
      </c>
      <c r="D91" s="3" t="s">
        <v>297</v>
      </c>
      <c r="E91" s="3" t="s">
        <v>34</v>
      </c>
      <c r="F91" s="3" t="s">
        <v>14</v>
      </c>
      <c r="G91" s="3" t="s">
        <v>15</v>
      </c>
      <c r="H91" s="4">
        <v>46321</v>
      </c>
      <c r="I91" s="5">
        <v>4.2</v>
      </c>
      <c r="J91" s="3" t="s">
        <v>30</v>
      </c>
    </row>
    <row r="92" spans="1:10" hidden="1" x14ac:dyDescent="0.3">
      <c r="A92" s="2">
        <v>91</v>
      </c>
      <c r="B92" s="2" t="s">
        <v>298</v>
      </c>
      <c r="C92" s="3" t="s">
        <v>299</v>
      </c>
      <c r="D92" s="3" t="s">
        <v>300</v>
      </c>
      <c r="E92" s="3" t="s">
        <v>40</v>
      </c>
      <c r="F92" s="3" t="s">
        <v>41</v>
      </c>
      <c r="G92" s="3" t="s">
        <v>42</v>
      </c>
      <c r="H92" s="4">
        <v>46299</v>
      </c>
      <c r="I92" s="5">
        <v>8.1999999999999993</v>
      </c>
      <c r="J92" s="3" t="s">
        <v>16</v>
      </c>
    </row>
    <row r="93" spans="1:10" hidden="1" x14ac:dyDescent="0.3">
      <c r="A93" s="2">
        <v>92</v>
      </c>
      <c r="B93" s="2" t="s">
        <v>301</v>
      </c>
      <c r="C93" s="3" t="s">
        <v>302</v>
      </c>
      <c r="D93" s="3" t="s">
        <v>303</v>
      </c>
      <c r="E93" s="3" t="s">
        <v>34</v>
      </c>
      <c r="F93" s="3" t="s">
        <v>90</v>
      </c>
      <c r="G93" s="3" t="s">
        <v>25</v>
      </c>
      <c r="H93" s="4">
        <v>46321</v>
      </c>
      <c r="I93" s="5">
        <v>7</v>
      </c>
      <c r="J93" s="3" t="s">
        <v>30</v>
      </c>
    </row>
    <row r="94" spans="1:10" x14ac:dyDescent="0.3">
      <c r="A94" s="2">
        <v>93</v>
      </c>
      <c r="B94" s="2" t="s">
        <v>304</v>
      </c>
      <c r="C94" s="3" t="s">
        <v>305</v>
      </c>
      <c r="D94" s="3" t="s">
        <v>306</v>
      </c>
      <c r="E94" s="3" t="s">
        <v>34</v>
      </c>
      <c r="F94" s="3" t="s">
        <v>41</v>
      </c>
      <c r="G94" s="3" t="s">
        <v>25</v>
      </c>
      <c r="H94" s="4">
        <v>46317</v>
      </c>
      <c r="I94" s="5">
        <v>6.2</v>
      </c>
      <c r="J94" s="3" t="s">
        <v>16</v>
      </c>
    </row>
    <row r="95" spans="1:10" hidden="1" x14ac:dyDescent="0.3">
      <c r="A95" s="2">
        <v>94</v>
      </c>
      <c r="B95" s="2" t="s">
        <v>307</v>
      </c>
      <c r="C95" s="3" t="s">
        <v>308</v>
      </c>
      <c r="D95" s="3" t="s">
        <v>309</v>
      </c>
      <c r="E95" s="3" t="s">
        <v>46</v>
      </c>
      <c r="F95" s="3" t="s">
        <v>20</v>
      </c>
      <c r="G95" s="3" t="s">
        <v>25</v>
      </c>
      <c r="H95" s="4">
        <v>46300</v>
      </c>
      <c r="I95" s="5">
        <v>4</v>
      </c>
      <c r="J95" s="3" t="s">
        <v>16</v>
      </c>
    </row>
    <row r="96" spans="1:10" hidden="1" x14ac:dyDescent="0.3">
      <c r="A96" s="2">
        <v>95</v>
      </c>
      <c r="B96" s="2" t="s">
        <v>310</v>
      </c>
      <c r="C96" s="3" t="s">
        <v>311</v>
      </c>
      <c r="D96" s="3" t="s">
        <v>312</v>
      </c>
      <c r="E96" s="3" t="s">
        <v>40</v>
      </c>
      <c r="F96" s="3" t="s">
        <v>14</v>
      </c>
      <c r="G96" s="3" t="s">
        <v>42</v>
      </c>
      <c r="H96" s="4">
        <v>46316</v>
      </c>
      <c r="I96" s="5">
        <v>3.5</v>
      </c>
      <c r="J96" s="3" t="s">
        <v>16</v>
      </c>
    </row>
    <row r="97" spans="1:10" hidden="1" x14ac:dyDescent="0.3">
      <c r="A97" s="2">
        <v>96</v>
      </c>
      <c r="B97" s="2" t="s">
        <v>313</v>
      </c>
      <c r="C97" s="3" t="s">
        <v>314</v>
      </c>
      <c r="D97" s="3" t="s">
        <v>315</v>
      </c>
      <c r="E97" s="3" t="s">
        <v>24</v>
      </c>
      <c r="F97" s="3" t="s">
        <v>20</v>
      </c>
      <c r="G97" s="3" t="s">
        <v>25</v>
      </c>
      <c r="H97" s="4">
        <v>46305</v>
      </c>
      <c r="I97" s="5">
        <v>5.7</v>
      </c>
      <c r="J97" s="3" t="s">
        <v>30</v>
      </c>
    </row>
    <row r="98" spans="1:10" hidden="1" x14ac:dyDescent="0.3">
      <c r="A98" s="2">
        <v>97</v>
      </c>
      <c r="B98" s="2" t="s">
        <v>316</v>
      </c>
      <c r="C98" s="3" t="s">
        <v>317</v>
      </c>
      <c r="D98" s="3" t="s">
        <v>318</v>
      </c>
      <c r="E98" s="3" t="s">
        <v>34</v>
      </c>
      <c r="F98" s="3" t="s">
        <v>68</v>
      </c>
      <c r="G98" s="3" t="s">
        <v>15</v>
      </c>
      <c r="H98" s="4">
        <v>46320</v>
      </c>
      <c r="I98" s="5">
        <v>9.6999999999999993</v>
      </c>
      <c r="J98" s="3" t="s">
        <v>16</v>
      </c>
    </row>
    <row r="99" spans="1:10" x14ac:dyDescent="0.3">
      <c r="A99" s="2">
        <v>98</v>
      </c>
      <c r="B99" s="2" t="s">
        <v>319</v>
      </c>
      <c r="C99" s="3" t="s">
        <v>320</v>
      </c>
      <c r="D99" s="3" t="s">
        <v>321</v>
      </c>
      <c r="E99" s="3" t="s">
        <v>34</v>
      </c>
      <c r="F99" s="3" t="s">
        <v>20</v>
      </c>
      <c r="G99" s="3" t="s">
        <v>15</v>
      </c>
      <c r="H99" s="4">
        <v>46307</v>
      </c>
      <c r="I99" s="5">
        <v>6.1</v>
      </c>
      <c r="J99" s="3" t="s">
        <v>16</v>
      </c>
    </row>
    <row r="100" spans="1:10" hidden="1" x14ac:dyDescent="0.3">
      <c r="A100" s="2">
        <v>99</v>
      </c>
      <c r="B100" s="2" t="s">
        <v>322</v>
      </c>
      <c r="C100" s="3" t="s">
        <v>323</v>
      </c>
      <c r="D100" s="3" t="s">
        <v>324</v>
      </c>
      <c r="E100" s="3" t="s">
        <v>13</v>
      </c>
      <c r="F100" s="3" t="s">
        <v>35</v>
      </c>
      <c r="G100" s="3" t="s">
        <v>42</v>
      </c>
      <c r="H100" s="4">
        <v>46301</v>
      </c>
      <c r="I100" s="5">
        <v>7.4</v>
      </c>
      <c r="J100" s="3" t="s">
        <v>16</v>
      </c>
    </row>
    <row r="101" spans="1:10" hidden="1" x14ac:dyDescent="0.3">
      <c r="A101" s="2">
        <v>100</v>
      </c>
      <c r="B101" s="2" t="s">
        <v>325</v>
      </c>
      <c r="C101" s="3" t="s">
        <v>326</v>
      </c>
      <c r="D101" s="3" t="s">
        <v>327</v>
      </c>
      <c r="E101" s="3" t="s">
        <v>40</v>
      </c>
      <c r="F101" s="3" t="s">
        <v>14</v>
      </c>
      <c r="G101" s="3" t="s">
        <v>36</v>
      </c>
      <c r="H101" s="4">
        <v>46298</v>
      </c>
      <c r="I101" s="5">
        <v>6.3</v>
      </c>
      <c r="J101" s="3" t="s">
        <v>16</v>
      </c>
    </row>
    <row r="102" spans="1:10" hidden="1" x14ac:dyDescent="0.3">
      <c r="A102" s="2">
        <v>101</v>
      </c>
      <c r="B102" s="2" t="s">
        <v>328</v>
      </c>
      <c r="C102" s="3" t="s">
        <v>329</v>
      </c>
      <c r="D102" s="3" t="s">
        <v>330</v>
      </c>
      <c r="E102" s="3" t="s">
        <v>34</v>
      </c>
      <c r="F102" s="3" t="s">
        <v>90</v>
      </c>
      <c r="G102" s="3" t="s">
        <v>42</v>
      </c>
      <c r="H102" s="4">
        <v>46307</v>
      </c>
      <c r="I102" s="5">
        <v>7.2</v>
      </c>
      <c r="J102" s="3" t="s">
        <v>16</v>
      </c>
    </row>
    <row r="103" spans="1:10" hidden="1" x14ac:dyDescent="0.3">
      <c r="A103" s="2">
        <v>102</v>
      </c>
      <c r="B103" s="2" t="s">
        <v>331</v>
      </c>
      <c r="C103" s="3" t="s">
        <v>332</v>
      </c>
      <c r="D103" s="3" t="s">
        <v>333</v>
      </c>
      <c r="E103" s="3" t="s">
        <v>40</v>
      </c>
      <c r="F103" s="3" t="s">
        <v>90</v>
      </c>
      <c r="G103" s="3" t="s">
        <v>25</v>
      </c>
      <c r="H103" s="4">
        <v>46297</v>
      </c>
      <c r="I103" s="5">
        <v>5.0999999999999996</v>
      </c>
      <c r="J103" s="3" t="s">
        <v>16</v>
      </c>
    </row>
    <row r="104" spans="1:10" hidden="1" x14ac:dyDescent="0.3">
      <c r="A104" s="2">
        <v>103</v>
      </c>
      <c r="B104" s="2" t="s">
        <v>334</v>
      </c>
      <c r="C104" s="3" t="s">
        <v>335</v>
      </c>
      <c r="D104" s="3" t="s">
        <v>336</v>
      </c>
      <c r="E104" s="3" t="s">
        <v>34</v>
      </c>
      <c r="F104" s="3" t="s">
        <v>29</v>
      </c>
      <c r="G104" s="3" t="s">
        <v>42</v>
      </c>
      <c r="H104" s="4">
        <v>46317</v>
      </c>
      <c r="I104" s="5">
        <v>7.7</v>
      </c>
      <c r="J104" s="3" t="s">
        <v>30</v>
      </c>
    </row>
    <row r="105" spans="1:10" hidden="1" x14ac:dyDescent="0.3">
      <c r="A105" s="2">
        <v>104</v>
      </c>
      <c r="B105" s="2" t="s">
        <v>337</v>
      </c>
      <c r="C105" s="3" t="s">
        <v>338</v>
      </c>
      <c r="D105" s="3" t="s">
        <v>339</v>
      </c>
      <c r="E105" s="3" t="s">
        <v>34</v>
      </c>
      <c r="F105" s="3" t="s">
        <v>68</v>
      </c>
      <c r="G105" s="3" t="s">
        <v>15</v>
      </c>
      <c r="H105" s="4">
        <v>46304</v>
      </c>
      <c r="I105" s="5">
        <v>8.9</v>
      </c>
      <c r="J105" s="3" t="s">
        <v>16</v>
      </c>
    </row>
    <row r="106" spans="1:10" hidden="1" x14ac:dyDescent="0.3">
      <c r="A106" s="2">
        <v>105</v>
      </c>
      <c r="B106" s="2" t="s">
        <v>340</v>
      </c>
      <c r="C106" s="3" t="s">
        <v>341</v>
      </c>
      <c r="D106" s="3" t="s">
        <v>342</v>
      </c>
      <c r="E106" s="3" t="s">
        <v>46</v>
      </c>
      <c r="F106" s="3" t="s">
        <v>14</v>
      </c>
      <c r="G106" s="3" t="s">
        <v>15</v>
      </c>
      <c r="H106" s="4">
        <v>46313</v>
      </c>
      <c r="I106" s="5">
        <v>8.1999999999999993</v>
      </c>
      <c r="J106" s="3" t="s">
        <v>30</v>
      </c>
    </row>
    <row r="107" spans="1:10" hidden="1" x14ac:dyDescent="0.3">
      <c r="A107" s="2">
        <v>106</v>
      </c>
      <c r="B107" s="2" t="s">
        <v>343</v>
      </c>
      <c r="C107" s="3" t="s">
        <v>344</v>
      </c>
      <c r="D107" s="3" t="s">
        <v>345</v>
      </c>
      <c r="E107" s="3" t="s">
        <v>46</v>
      </c>
      <c r="F107" s="3" t="s">
        <v>14</v>
      </c>
      <c r="G107" s="3" t="s">
        <v>42</v>
      </c>
      <c r="H107" s="4">
        <v>46310</v>
      </c>
      <c r="I107" s="5">
        <v>4.5999999999999996</v>
      </c>
      <c r="J107" s="3" t="s">
        <v>16</v>
      </c>
    </row>
    <row r="108" spans="1:10" hidden="1" x14ac:dyDescent="0.3">
      <c r="A108" s="2">
        <v>107</v>
      </c>
      <c r="B108" s="2" t="s">
        <v>346</v>
      </c>
      <c r="C108" s="3" t="s">
        <v>347</v>
      </c>
      <c r="D108" s="3" t="s">
        <v>348</v>
      </c>
      <c r="E108" s="3" t="s">
        <v>24</v>
      </c>
      <c r="F108" s="3" t="s">
        <v>35</v>
      </c>
      <c r="G108" s="3" t="s">
        <v>15</v>
      </c>
      <c r="H108" s="4">
        <v>46319</v>
      </c>
      <c r="I108" s="5">
        <v>7.7</v>
      </c>
      <c r="J108" s="3" t="s">
        <v>30</v>
      </c>
    </row>
    <row r="109" spans="1:10" hidden="1" x14ac:dyDescent="0.3">
      <c r="A109" s="2">
        <v>108</v>
      </c>
      <c r="B109" s="2" t="s">
        <v>349</v>
      </c>
      <c r="C109" s="3" t="s">
        <v>350</v>
      </c>
      <c r="D109" s="3" t="s">
        <v>351</v>
      </c>
      <c r="E109" s="3" t="s">
        <v>40</v>
      </c>
      <c r="F109" s="3" t="s">
        <v>68</v>
      </c>
      <c r="G109" s="3" t="s">
        <v>42</v>
      </c>
      <c r="H109" s="4">
        <v>46310</v>
      </c>
      <c r="I109" s="5">
        <v>8.8000000000000007</v>
      </c>
      <c r="J109" s="3" t="s">
        <v>16</v>
      </c>
    </row>
    <row r="110" spans="1:10" hidden="1" x14ac:dyDescent="0.3">
      <c r="A110" s="2">
        <v>109</v>
      </c>
      <c r="B110" s="2" t="s">
        <v>352</v>
      </c>
      <c r="C110" s="3" t="s">
        <v>353</v>
      </c>
      <c r="D110" s="3" t="s">
        <v>354</v>
      </c>
      <c r="E110" s="3" t="s">
        <v>34</v>
      </c>
      <c r="F110" s="3" t="s">
        <v>35</v>
      </c>
      <c r="G110" s="3" t="s">
        <v>42</v>
      </c>
      <c r="H110" s="4">
        <v>46308</v>
      </c>
      <c r="I110" s="5">
        <v>7.5</v>
      </c>
      <c r="J110" s="3" t="s">
        <v>16</v>
      </c>
    </row>
    <row r="111" spans="1:10" hidden="1" x14ac:dyDescent="0.3">
      <c r="A111" s="2">
        <v>110</v>
      </c>
      <c r="B111" s="2" t="s">
        <v>355</v>
      </c>
      <c r="C111" s="3" t="s">
        <v>356</v>
      </c>
      <c r="D111" s="3" t="s">
        <v>357</v>
      </c>
      <c r="E111" s="3" t="s">
        <v>40</v>
      </c>
      <c r="F111" s="3" t="s">
        <v>29</v>
      </c>
      <c r="G111" s="3" t="s">
        <v>36</v>
      </c>
      <c r="H111" s="4">
        <v>46312</v>
      </c>
      <c r="I111" s="5">
        <v>5.0999999999999996</v>
      </c>
      <c r="J111" s="3" t="s">
        <v>30</v>
      </c>
    </row>
    <row r="112" spans="1:10" x14ac:dyDescent="0.3">
      <c r="A112" s="2">
        <v>111</v>
      </c>
      <c r="B112" s="2" t="s">
        <v>358</v>
      </c>
      <c r="C112" s="3" t="s">
        <v>359</v>
      </c>
      <c r="D112" s="3" t="s">
        <v>360</v>
      </c>
      <c r="E112" s="3" t="s">
        <v>34</v>
      </c>
      <c r="F112" s="3" t="s">
        <v>14</v>
      </c>
      <c r="G112" s="3" t="s">
        <v>15</v>
      </c>
      <c r="H112" s="4">
        <v>46316</v>
      </c>
      <c r="I112" s="5">
        <v>3.4</v>
      </c>
      <c r="J112" s="3" t="s">
        <v>30</v>
      </c>
    </row>
    <row r="113" spans="1:10" hidden="1" x14ac:dyDescent="0.3">
      <c r="A113" s="2">
        <v>112</v>
      </c>
      <c r="B113" s="2" t="s">
        <v>361</v>
      </c>
      <c r="C113" s="3" t="s">
        <v>362</v>
      </c>
      <c r="D113" s="3" t="s">
        <v>363</v>
      </c>
      <c r="E113" s="3" t="s">
        <v>40</v>
      </c>
      <c r="F113" s="3" t="s">
        <v>68</v>
      </c>
      <c r="G113" s="3" t="s">
        <v>42</v>
      </c>
      <c r="H113" s="4">
        <v>46301</v>
      </c>
      <c r="I113" s="5">
        <v>5.5</v>
      </c>
      <c r="J113" s="3" t="s">
        <v>16</v>
      </c>
    </row>
    <row r="114" spans="1:10" hidden="1" x14ac:dyDescent="0.3">
      <c r="A114" s="2">
        <v>113</v>
      </c>
      <c r="B114" s="2" t="s">
        <v>364</v>
      </c>
      <c r="C114" s="3" t="s">
        <v>365</v>
      </c>
      <c r="D114" s="3" t="s">
        <v>366</v>
      </c>
      <c r="E114" s="3" t="s">
        <v>46</v>
      </c>
      <c r="F114" s="3" t="s">
        <v>68</v>
      </c>
      <c r="G114" s="3" t="s">
        <v>36</v>
      </c>
      <c r="H114" s="4">
        <v>46299</v>
      </c>
      <c r="I114" s="5">
        <v>3.4</v>
      </c>
      <c r="J114" s="3" t="s">
        <v>16</v>
      </c>
    </row>
    <row r="115" spans="1:10" x14ac:dyDescent="0.3">
      <c r="A115" s="2">
        <v>114</v>
      </c>
      <c r="B115" s="2" t="s">
        <v>367</v>
      </c>
      <c r="C115" s="3" t="s">
        <v>368</v>
      </c>
      <c r="D115" s="3" t="s">
        <v>369</v>
      </c>
      <c r="E115" s="3" t="s">
        <v>34</v>
      </c>
      <c r="F115" s="3" t="s">
        <v>35</v>
      </c>
      <c r="G115" s="3" t="s">
        <v>15</v>
      </c>
      <c r="H115" s="4">
        <v>46301</v>
      </c>
      <c r="I115" s="5">
        <v>3.6</v>
      </c>
      <c r="J115" s="3" t="s">
        <v>30</v>
      </c>
    </row>
    <row r="116" spans="1:10" hidden="1" x14ac:dyDescent="0.3">
      <c r="A116" s="2">
        <v>115</v>
      </c>
      <c r="B116" s="2" t="s">
        <v>370</v>
      </c>
      <c r="C116" s="3" t="s">
        <v>371</v>
      </c>
      <c r="D116" s="3" t="s">
        <v>372</v>
      </c>
      <c r="E116" s="3" t="s">
        <v>40</v>
      </c>
      <c r="F116" s="3" t="s">
        <v>68</v>
      </c>
      <c r="G116" s="3" t="s">
        <v>42</v>
      </c>
      <c r="H116" s="4">
        <v>46321</v>
      </c>
      <c r="I116" s="5">
        <v>5.9</v>
      </c>
      <c r="J116" s="3" t="s">
        <v>16</v>
      </c>
    </row>
    <row r="117" spans="1:10" x14ac:dyDescent="0.3">
      <c r="A117" s="2">
        <v>116</v>
      </c>
      <c r="B117" s="2" t="s">
        <v>373</v>
      </c>
      <c r="C117" s="3" t="s">
        <v>374</v>
      </c>
      <c r="D117" s="3" t="s">
        <v>375</v>
      </c>
      <c r="E117" s="3" t="s">
        <v>34</v>
      </c>
      <c r="F117" s="3" t="s">
        <v>14</v>
      </c>
      <c r="G117" s="3" t="s">
        <v>25</v>
      </c>
      <c r="H117" s="4">
        <v>46311</v>
      </c>
      <c r="I117" s="5">
        <v>3.1</v>
      </c>
      <c r="J117" s="3" t="s">
        <v>30</v>
      </c>
    </row>
    <row r="118" spans="1:10" hidden="1" x14ac:dyDescent="0.3">
      <c r="A118" s="2">
        <v>117</v>
      </c>
      <c r="B118" s="2" t="s">
        <v>376</v>
      </c>
      <c r="C118" s="3" t="s">
        <v>377</v>
      </c>
      <c r="D118" s="3" t="s">
        <v>378</v>
      </c>
      <c r="E118" s="3" t="s">
        <v>13</v>
      </c>
      <c r="F118" s="3" t="s">
        <v>14</v>
      </c>
      <c r="G118" s="3" t="s">
        <v>42</v>
      </c>
      <c r="H118" s="4">
        <v>46298</v>
      </c>
      <c r="I118" s="5">
        <v>8</v>
      </c>
      <c r="J118" s="3" t="s">
        <v>16</v>
      </c>
    </row>
    <row r="119" spans="1:10" hidden="1" x14ac:dyDescent="0.3">
      <c r="A119" s="2">
        <v>118</v>
      </c>
      <c r="B119" s="2" t="s">
        <v>379</v>
      </c>
      <c r="C119" s="3" t="s">
        <v>380</v>
      </c>
      <c r="D119" s="3" t="s">
        <v>381</v>
      </c>
      <c r="E119" s="3" t="s">
        <v>40</v>
      </c>
      <c r="F119" s="3" t="s">
        <v>90</v>
      </c>
      <c r="G119" s="3" t="s">
        <v>15</v>
      </c>
      <c r="H119" s="4">
        <v>46300</v>
      </c>
      <c r="I119" s="5">
        <v>8.5</v>
      </c>
      <c r="J119" s="3" t="s">
        <v>30</v>
      </c>
    </row>
    <row r="120" spans="1:10" hidden="1" x14ac:dyDescent="0.3">
      <c r="A120" s="2">
        <v>119</v>
      </c>
      <c r="B120" s="2" t="s">
        <v>382</v>
      </c>
      <c r="C120" s="3" t="s">
        <v>383</v>
      </c>
      <c r="D120" s="3" t="s">
        <v>384</v>
      </c>
      <c r="E120" s="3" t="s">
        <v>40</v>
      </c>
      <c r="F120" s="3" t="s">
        <v>41</v>
      </c>
      <c r="G120" s="3" t="s">
        <v>42</v>
      </c>
      <c r="H120" s="4">
        <v>46299</v>
      </c>
      <c r="I120" s="5">
        <v>4.9000000000000004</v>
      </c>
      <c r="J120" s="3" t="s">
        <v>16</v>
      </c>
    </row>
    <row r="121" spans="1:10" hidden="1" x14ac:dyDescent="0.3">
      <c r="A121" s="2">
        <v>120</v>
      </c>
      <c r="B121" s="2" t="s">
        <v>385</v>
      </c>
      <c r="C121" s="3" t="s">
        <v>386</v>
      </c>
      <c r="D121" s="3" t="s">
        <v>387</v>
      </c>
      <c r="E121" s="3" t="s">
        <v>24</v>
      </c>
      <c r="F121" s="3" t="s">
        <v>90</v>
      </c>
      <c r="G121" s="3" t="s">
        <v>36</v>
      </c>
      <c r="H121" s="4">
        <v>46305</v>
      </c>
      <c r="I121" s="5">
        <v>6.7</v>
      </c>
      <c r="J121" s="3" t="s">
        <v>30</v>
      </c>
    </row>
    <row r="122" spans="1:10" hidden="1" x14ac:dyDescent="0.3">
      <c r="A122" s="2">
        <v>121</v>
      </c>
      <c r="B122" s="2" t="s">
        <v>388</v>
      </c>
      <c r="C122" s="3" t="s">
        <v>389</v>
      </c>
      <c r="D122" s="3" t="s">
        <v>390</v>
      </c>
      <c r="E122" s="3" t="s">
        <v>40</v>
      </c>
      <c r="F122" s="3" t="s">
        <v>68</v>
      </c>
      <c r="G122" s="3" t="s">
        <v>25</v>
      </c>
      <c r="H122" s="4">
        <v>46304</v>
      </c>
      <c r="I122" s="5">
        <v>7.2</v>
      </c>
      <c r="J122" s="3" t="s">
        <v>16</v>
      </c>
    </row>
    <row r="123" spans="1:10" hidden="1" x14ac:dyDescent="0.3">
      <c r="A123" s="2">
        <v>122</v>
      </c>
      <c r="B123" s="2" t="s">
        <v>391</v>
      </c>
      <c r="C123" s="3" t="s">
        <v>392</v>
      </c>
      <c r="D123" s="3" t="s">
        <v>393</v>
      </c>
      <c r="E123" s="3" t="s">
        <v>40</v>
      </c>
      <c r="F123" s="3" t="s">
        <v>41</v>
      </c>
      <c r="G123" s="3" t="s">
        <v>42</v>
      </c>
      <c r="H123" s="4">
        <v>46311</v>
      </c>
      <c r="I123" s="5">
        <v>6.1</v>
      </c>
      <c r="J123" s="3" t="s">
        <v>16</v>
      </c>
    </row>
    <row r="124" spans="1:10" hidden="1" x14ac:dyDescent="0.3">
      <c r="A124" s="2">
        <v>123</v>
      </c>
      <c r="B124" s="2" t="s">
        <v>394</v>
      </c>
      <c r="C124" s="3" t="s">
        <v>395</v>
      </c>
      <c r="D124" s="3" t="s">
        <v>396</v>
      </c>
      <c r="E124" s="3" t="s">
        <v>46</v>
      </c>
      <c r="F124" s="3" t="s">
        <v>20</v>
      </c>
      <c r="G124" s="3" t="s">
        <v>15</v>
      </c>
      <c r="H124" s="4">
        <v>46317</v>
      </c>
      <c r="I124" s="5">
        <v>6.2</v>
      </c>
      <c r="J124" s="3" t="s">
        <v>16</v>
      </c>
    </row>
    <row r="125" spans="1:10" hidden="1" x14ac:dyDescent="0.3">
      <c r="A125" s="2">
        <v>124</v>
      </c>
      <c r="B125" s="2" t="s">
        <v>397</v>
      </c>
      <c r="C125" s="3" t="s">
        <v>398</v>
      </c>
      <c r="D125" s="3" t="s">
        <v>399</v>
      </c>
      <c r="E125" s="3" t="s">
        <v>13</v>
      </c>
      <c r="F125" s="3" t="s">
        <v>20</v>
      </c>
      <c r="G125" s="3" t="s">
        <v>25</v>
      </c>
      <c r="H125" s="4">
        <v>46300</v>
      </c>
      <c r="I125" s="5">
        <v>5</v>
      </c>
      <c r="J125" s="3" t="s">
        <v>16</v>
      </c>
    </row>
    <row r="126" spans="1:10" hidden="1" x14ac:dyDescent="0.3">
      <c r="A126" s="2">
        <v>125</v>
      </c>
      <c r="B126" s="2" t="s">
        <v>400</v>
      </c>
      <c r="C126" s="3" t="s">
        <v>401</v>
      </c>
      <c r="D126" s="3" t="s">
        <v>402</v>
      </c>
      <c r="E126" s="3" t="s">
        <v>24</v>
      </c>
      <c r="F126" s="3" t="s">
        <v>29</v>
      </c>
      <c r="G126" s="3" t="s">
        <v>42</v>
      </c>
      <c r="H126" s="4">
        <v>46313</v>
      </c>
      <c r="I126" s="5">
        <v>9.1999999999999993</v>
      </c>
      <c r="J126" s="3" t="s">
        <v>16</v>
      </c>
    </row>
    <row r="127" spans="1:10" hidden="1" x14ac:dyDescent="0.3">
      <c r="A127" s="2">
        <v>126</v>
      </c>
      <c r="B127" s="2" t="s">
        <v>403</v>
      </c>
      <c r="C127" s="3" t="s">
        <v>404</v>
      </c>
      <c r="D127" s="3" t="s">
        <v>405</v>
      </c>
      <c r="E127" s="3" t="s">
        <v>40</v>
      </c>
      <c r="F127" s="3" t="s">
        <v>68</v>
      </c>
      <c r="G127" s="3" t="s">
        <v>42</v>
      </c>
      <c r="H127" s="4">
        <v>46319</v>
      </c>
      <c r="I127" s="5">
        <v>5.0999999999999996</v>
      </c>
      <c r="J127" s="3" t="s">
        <v>16</v>
      </c>
    </row>
    <row r="128" spans="1:10" hidden="1" x14ac:dyDescent="0.3">
      <c r="A128" s="2">
        <v>127</v>
      </c>
      <c r="B128" s="2" t="s">
        <v>406</v>
      </c>
      <c r="C128" s="3" t="s">
        <v>407</v>
      </c>
      <c r="D128" s="3" t="s">
        <v>408</v>
      </c>
      <c r="E128" s="3" t="s">
        <v>46</v>
      </c>
      <c r="F128" s="3" t="s">
        <v>90</v>
      </c>
      <c r="G128" s="3" t="s">
        <v>15</v>
      </c>
      <c r="H128" s="4">
        <v>46303</v>
      </c>
      <c r="I128" s="5">
        <v>8.9</v>
      </c>
      <c r="J128" s="3" t="s">
        <v>30</v>
      </c>
    </row>
    <row r="129" spans="1:10" hidden="1" x14ac:dyDescent="0.3">
      <c r="A129" s="2">
        <v>128</v>
      </c>
      <c r="B129" s="2" t="s">
        <v>409</v>
      </c>
      <c r="C129" s="3" t="s">
        <v>410</v>
      </c>
      <c r="D129" s="3" t="s">
        <v>411</v>
      </c>
      <c r="E129" s="3" t="s">
        <v>24</v>
      </c>
      <c r="F129" s="3" t="s">
        <v>68</v>
      </c>
      <c r="G129" s="3" t="s">
        <v>25</v>
      </c>
      <c r="H129" s="4">
        <v>46296</v>
      </c>
      <c r="I129" s="5">
        <v>6.5</v>
      </c>
      <c r="J129" s="3" t="s">
        <v>16</v>
      </c>
    </row>
    <row r="130" spans="1:10" hidden="1" x14ac:dyDescent="0.3">
      <c r="A130" s="2">
        <v>129</v>
      </c>
      <c r="B130" s="2" t="s">
        <v>412</v>
      </c>
      <c r="C130" s="3" t="s">
        <v>413</v>
      </c>
      <c r="D130" s="3" t="s">
        <v>414</v>
      </c>
      <c r="E130" s="3" t="s">
        <v>24</v>
      </c>
      <c r="F130" s="3" t="s">
        <v>68</v>
      </c>
      <c r="G130" s="3" t="s">
        <v>36</v>
      </c>
      <c r="H130" s="4">
        <v>46298</v>
      </c>
      <c r="I130" s="5">
        <v>9.3000000000000007</v>
      </c>
      <c r="J130" s="3" t="s">
        <v>16</v>
      </c>
    </row>
    <row r="131" spans="1:10" hidden="1" x14ac:dyDescent="0.3">
      <c r="A131" s="2">
        <v>130</v>
      </c>
      <c r="B131" s="2" t="s">
        <v>415</v>
      </c>
      <c r="C131" s="3" t="s">
        <v>416</v>
      </c>
      <c r="D131" s="3" t="s">
        <v>417</v>
      </c>
      <c r="E131" s="3" t="s">
        <v>13</v>
      </c>
      <c r="F131" s="3" t="s">
        <v>90</v>
      </c>
      <c r="G131" s="3" t="s">
        <v>42</v>
      </c>
      <c r="H131" s="4">
        <v>46307</v>
      </c>
      <c r="I131" s="5">
        <v>4.5999999999999996</v>
      </c>
      <c r="J131" s="3" t="s">
        <v>16</v>
      </c>
    </row>
    <row r="132" spans="1:10" hidden="1" x14ac:dyDescent="0.3">
      <c r="A132" s="2">
        <v>131</v>
      </c>
      <c r="B132" s="2" t="s">
        <v>418</v>
      </c>
      <c r="C132" s="3" t="s">
        <v>419</v>
      </c>
      <c r="D132" s="3" t="s">
        <v>420</v>
      </c>
      <c r="E132" s="3" t="s">
        <v>40</v>
      </c>
      <c r="F132" s="3" t="s">
        <v>68</v>
      </c>
      <c r="G132" s="3" t="s">
        <v>15</v>
      </c>
      <c r="H132" s="4">
        <v>46301</v>
      </c>
      <c r="I132" s="5">
        <v>7.5</v>
      </c>
      <c r="J132" s="3" t="s">
        <v>30</v>
      </c>
    </row>
    <row r="133" spans="1:10" x14ac:dyDescent="0.3">
      <c r="A133" s="2">
        <v>132</v>
      </c>
      <c r="B133" s="2" t="s">
        <v>421</v>
      </c>
      <c r="C133" s="3" t="s">
        <v>422</v>
      </c>
      <c r="D133" s="3" t="s">
        <v>423</v>
      </c>
      <c r="E133" s="3" t="s">
        <v>34</v>
      </c>
      <c r="F133" s="3" t="s">
        <v>14</v>
      </c>
      <c r="G133" s="3" t="s">
        <v>15</v>
      </c>
      <c r="H133" s="4">
        <v>46296</v>
      </c>
      <c r="I133" s="5">
        <v>5.4</v>
      </c>
      <c r="J133" s="3" t="s">
        <v>16</v>
      </c>
    </row>
    <row r="134" spans="1:10" hidden="1" x14ac:dyDescent="0.3">
      <c r="A134" s="2">
        <v>133</v>
      </c>
      <c r="B134" s="2" t="s">
        <v>424</v>
      </c>
      <c r="C134" s="3" t="s">
        <v>425</v>
      </c>
      <c r="D134" s="3" t="s">
        <v>426</v>
      </c>
      <c r="E134" s="3" t="s">
        <v>24</v>
      </c>
      <c r="F134" s="3" t="s">
        <v>20</v>
      </c>
      <c r="G134" s="3" t="s">
        <v>42</v>
      </c>
      <c r="H134" s="4">
        <v>46319</v>
      </c>
      <c r="I134" s="5">
        <v>3.3</v>
      </c>
      <c r="J134" s="3" t="s">
        <v>16</v>
      </c>
    </row>
    <row r="135" spans="1:10" x14ac:dyDescent="0.3">
      <c r="A135" s="2">
        <v>134</v>
      </c>
      <c r="B135" s="2" t="s">
        <v>427</v>
      </c>
      <c r="C135" s="3" t="s">
        <v>428</v>
      </c>
      <c r="D135" s="3" t="s">
        <v>429</v>
      </c>
      <c r="E135" s="3" t="s">
        <v>34</v>
      </c>
      <c r="F135" s="3" t="s">
        <v>90</v>
      </c>
      <c r="G135" s="3" t="s">
        <v>15</v>
      </c>
      <c r="H135" s="4">
        <v>46314</v>
      </c>
      <c r="I135" s="5">
        <v>5.2</v>
      </c>
      <c r="J135" s="3" t="s">
        <v>16</v>
      </c>
    </row>
    <row r="136" spans="1:10" x14ac:dyDescent="0.3">
      <c r="A136" s="2">
        <v>135</v>
      </c>
      <c r="B136" s="2" t="s">
        <v>430</v>
      </c>
      <c r="C136" s="3" t="s">
        <v>431</v>
      </c>
      <c r="D136" s="3" t="s">
        <v>432</v>
      </c>
      <c r="E136" s="3" t="s">
        <v>34</v>
      </c>
      <c r="F136" s="3" t="s">
        <v>90</v>
      </c>
      <c r="G136" s="3" t="s">
        <v>42</v>
      </c>
      <c r="H136" s="4">
        <v>46309</v>
      </c>
      <c r="I136" s="5">
        <v>6.3</v>
      </c>
      <c r="J136" s="3" t="s">
        <v>30</v>
      </c>
    </row>
    <row r="137" spans="1:10" x14ac:dyDescent="0.3">
      <c r="A137" s="2">
        <v>136</v>
      </c>
      <c r="B137" s="2" t="s">
        <v>433</v>
      </c>
      <c r="C137" s="3" t="s">
        <v>434</v>
      </c>
      <c r="D137" s="3" t="s">
        <v>435</v>
      </c>
      <c r="E137" s="3" t="s">
        <v>34</v>
      </c>
      <c r="F137" s="3" t="s">
        <v>41</v>
      </c>
      <c r="G137" s="3" t="s">
        <v>36</v>
      </c>
      <c r="H137" s="4">
        <v>46316</v>
      </c>
      <c r="I137" s="5">
        <v>5.8</v>
      </c>
      <c r="J137" s="3" t="s">
        <v>30</v>
      </c>
    </row>
    <row r="138" spans="1:10" hidden="1" x14ac:dyDescent="0.3">
      <c r="A138" s="2">
        <v>137</v>
      </c>
      <c r="B138" s="2" t="s">
        <v>436</v>
      </c>
      <c r="C138" s="3" t="s">
        <v>437</v>
      </c>
      <c r="D138" s="3" t="s">
        <v>438</v>
      </c>
      <c r="E138" s="3" t="s">
        <v>24</v>
      </c>
      <c r="F138" s="3" t="s">
        <v>20</v>
      </c>
      <c r="G138" s="3" t="s">
        <v>42</v>
      </c>
      <c r="H138" s="4">
        <v>46320</v>
      </c>
      <c r="I138" s="5">
        <v>7.1</v>
      </c>
      <c r="J138" s="3" t="s">
        <v>16</v>
      </c>
    </row>
    <row r="139" spans="1:10" hidden="1" x14ac:dyDescent="0.3">
      <c r="A139" s="2">
        <v>138</v>
      </c>
      <c r="B139" s="2" t="s">
        <v>439</v>
      </c>
      <c r="C139" s="3" t="s">
        <v>440</v>
      </c>
      <c r="D139" s="3" t="s">
        <v>441</v>
      </c>
      <c r="E139" s="3" t="s">
        <v>46</v>
      </c>
      <c r="F139" s="3" t="s">
        <v>14</v>
      </c>
      <c r="G139" s="3" t="s">
        <v>42</v>
      </c>
      <c r="H139" s="4">
        <v>46310</v>
      </c>
      <c r="I139" s="5">
        <v>9.6999999999999993</v>
      </c>
      <c r="J139" s="3" t="s">
        <v>16</v>
      </c>
    </row>
    <row r="140" spans="1:10" hidden="1" x14ac:dyDescent="0.3">
      <c r="A140" s="2">
        <v>139</v>
      </c>
      <c r="B140" s="2" t="s">
        <v>442</v>
      </c>
      <c r="C140" s="3" t="s">
        <v>443</v>
      </c>
      <c r="D140" s="3" t="s">
        <v>444</v>
      </c>
      <c r="E140" s="3" t="s">
        <v>24</v>
      </c>
      <c r="F140" s="3" t="s">
        <v>41</v>
      </c>
      <c r="G140" s="3" t="s">
        <v>25</v>
      </c>
      <c r="H140" s="4">
        <v>46321</v>
      </c>
      <c r="I140" s="5">
        <v>7.7</v>
      </c>
      <c r="J140" s="3" t="s">
        <v>16</v>
      </c>
    </row>
    <row r="141" spans="1:10" hidden="1" x14ac:dyDescent="0.3">
      <c r="A141" s="2">
        <v>140</v>
      </c>
      <c r="B141" s="2" t="s">
        <v>445</v>
      </c>
      <c r="C141" s="3" t="s">
        <v>446</v>
      </c>
      <c r="D141" s="3" t="s">
        <v>447</v>
      </c>
      <c r="E141" s="3" t="s">
        <v>40</v>
      </c>
      <c r="F141" s="3" t="s">
        <v>35</v>
      </c>
      <c r="G141" s="3" t="s">
        <v>42</v>
      </c>
      <c r="H141" s="4">
        <v>46306</v>
      </c>
      <c r="I141" s="5">
        <v>4.2</v>
      </c>
      <c r="J141" s="3" t="s">
        <v>30</v>
      </c>
    </row>
    <row r="142" spans="1:10" hidden="1" x14ac:dyDescent="0.3">
      <c r="A142" s="2">
        <v>141</v>
      </c>
      <c r="B142" s="2" t="s">
        <v>448</v>
      </c>
      <c r="C142" s="3" t="s">
        <v>449</v>
      </c>
      <c r="D142" s="3" t="s">
        <v>450</v>
      </c>
      <c r="E142" s="3" t="s">
        <v>34</v>
      </c>
      <c r="F142" s="3" t="s">
        <v>41</v>
      </c>
      <c r="G142" s="3" t="s">
        <v>36</v>
      </c>
      <c r="H142" s="4">
        <v>46309</v>
      </c>
      <c r="I142" s="5">
        <v>9.6999999999999993</v>
      </c>
      <c r="J142" s="3" t="s">
        <v>16</v>
      </c>
    </row>
    <row r="143" spans="1:10" hidden="1" x14ac:dyDescent="0.3">
      <c r="A143" s="2">
        <v>142</v>
      </c>
      <c r="B143" s="2" t="s">
        <v>451</v>
      </c>
      <c r="C143" s="3" t="s">
        <v>452</v>
      </c>
      <c r="D143" s="3" t="s">
        <v>453</v>
      </c>
      <c r="E143" s="3" t="s">
        <v>13</v>
      </c>
      <c r="F143" s="3" t="s">
        <v>14</v>
      </c>
      <c r="G143" s="3" t="s">
        <v>42</v>
      </c>
      <c r="H143" s="4">
        <v>46318</v>
      </c>
      <c r="I143" s="5">
        <v>6.9</v>
      </c>
      <c r="J143" s="3" t="s">
        <v>16</v>
      </c>
    </row>
    <row r="144" spans="1:10" hidden="1" x14ac:dyDescent="0.3">
      <c r="A144" s="2">
        <v>143</v>
      </c>
      <c r="B144" s="2" t="s">
        <v>454</v>
      </c>
      <c r="C144" s="3" t="s">
        <v>455</v>
      </c>
      <c r="D144" s="3" t="s">
        <v>456</v>
      </c>
      <c r="E144" s="3" t="s">
        <v>46</v>
      </c>
      <c r="F144" s="3" t="s">
        <v>35</v>
      </c>
      <c r="G144" s="3" t="s">
        <v>42</v>
      </c>
      <c r="H144" s="4">
        <v>46299</v>
      </c>
      <c r="I144" s="5">
        <v>6</v>
      </c>
      <c r="J144" s="3" t="s">
        <v>16</v>
      </c>
    </row>
    <row r="145" spans="1:10" hidden="1" x14ac:dyDescent="0.3">
      <c r="A145" s="2">
        <v>144</v>
      </c>
      <c r="B145" s="2" t="s">
        <v>457</v>
      </c>
      <c r="C145" s="3" t="s">
        <v>458</v>
      </c>
      <c r="D145" s="3" t="s">
        <v>459</v>
      </c>
      <c r="E145" s="3" t="s">
        <v>24</v>
      </c>
      <c r="F145" s="3" t="s">
        <v>68</v>
      </c>
      <c r="G145" s="3" t="s">
        <v>15</v>
      </c>
      <c r="H145" s="4">
        <v>46310</v>
      </c>
      <c r="I145" s="5">
        <v>9.8000000000000007</v>
      </c>
      <c r="J145" s="3" t="s">
        <v>16</v>
      </c>
    </row>
    <row r="146" spans="1:10" hidden="1" x14ac:dyDescent="0.3">
      <c r="A146" s="2">
        <v>145</v>
      </c>
      <c r="B146" s="2" t="s">
        <v>460</v>
      </c>
      <c r="C146" s="3" t="s">
        <v>461</v>
      </c>
      <c r="D146" s="3" t="s">
        <v>462</v>
      </c>
      <c r="E146" s="3" t="s">
        <v>24</v>
      </c>
      <c r="F146" s="3" t="s">
        <v>29</v>
      </c>
      <c r="G146" s="3" t="s">
        <v>42</v>
      </c>
      <c r="H146" s="4">
        <v>46309</v>
      </c>
      <c r="I146" s="5">
        <v>9</v>
      </c>
      <c r="J146" s="3" t="s">
        <v>30</v>
      </c>
    </row>
    <row r="147" spans="1:10" x14ac:dyDescent="0.3">
      <c r="A147" s="2">
        <v>146</v>
      </c>
      <c r="B147" s="2" t="s">
        <v>463</v>
      </c>
      <c r="C147" s="3" t="s">
        <v>464</v>
      </c>
      <c r="D147" s="3" t="s">
        <v>465</v>
      </c>
      <c r="E147" s="3" t="s">
        <v>34</v>
      </c>
      <c r="F147" s="3" t="s">
        <v>29</v>
      </c>
      <c r="G147" s="3" t="s">
        <v>36</v>
      </c>
      <c r="H147" s="4">
        <v>46314</v>
      </c>
      <c r="I147" s="5">
        <v>5.8</v>
      </c>
      <c r="J147" s="3" t="s">
        <v>16</v>
      </c>
    </row>
    <row r="148" spans="1:10" hidden="1" x14ac:dyDescent="0.3">
      <c r="A148" s="2">
        <v>147</v>
      </c>
      <c r="B148" s="2" t="s">
        <v>466</v>
      </c>
      <c r="C148" s="3" t="s">
        <v>467</v>
      </c>
      <c r="D148" s="3" t="s">
        <v>468</v>
      </c>
      <c r="E148" s="3" t="s">
        <v>34</v>
      </c>
      <c r="F148" s="3" t="s">
        <v>29</v>
      </c>
      <c r="G148" s="3" t="s">
        <v>15</v>
      </c>
      <c r="H148" s="4">
        <v>46298</v>
      </c>
      <c r="I148" s="5">
        <v>7.2</v>
      </c>
      <c r="J148" s="3" t="s">
        <v>16</v>
      </c>
    </row>
    <row r="149" spans="1:10" hidden="1" x14ac:dyDescent="0.3">
      <c r="A149" s="2">
        <v>148</v>
      </c>
      <c r="B149" s="2" t="s">
        <v>469</v>
      </c>
      <c r="C149" s="3" t="s">
        <v>470</v>
      </c>
      <c r="D149" s="3" t="s">
        <v>471</v>
      </c>
      <c r="E149" s="3" t="s">
        <v>34</v>
      </c>
      <c r="F149" s="3" t="s">
        <v>20</v>
      </c>
      <c r="G149" s="3" t="s">
        <v>15</v>
      </c>
      <c r="H149" s="4">
        <v>46305</v>
      </c>
      <c r="I149" s="5">
        <v>8.6</v>
      </c>
      <c r="J149" s="3" t="s">
        <v>16</v>
      </c>
    </row>
    <row r="150" spans="1:10" hidden="1" x14ac:dyDescent="0.3">
      <c r="A150" s="2">
        <v>149</v>
      </c>
      <c r="B150" s="2" t="s">
        <v>472</v>
      </c>
      <c r="C150" s="3" t="s">
        <v>473</v>
      </c>
      <c r="D150" s="3" t="s">
        <v>474</v>
      </c>
      <c r="E150" s="3" t="s">
        <v>24</v>
      </c>
      <c r="F150" s="3" t="s">
        <v>14</v>
      </c>
      <c r="G150" s="3" t="s">
        <v>25</v>
      </c>
      <c r="H150" s="4">
        <v>46309</v>
      </c>
      <c r="I150" s="5">
        <v>6.4</v>
      </c>
      <c r="J150" s="3" t="s">
        <v>16</v>
      </c>
    </row>
    <row r="151" spans="1:10" hidden="1" x14ac:dyDescent="0.3">
      <c r="A151" s="2">
        <v>150</v>
      </c>
      <c r="B151" s="2" t="s">
        <v>475</v>
      </c>
      <c r="C151" s="3" t="s">
        <v>476</v>
      </c>
      <c r="D151" s="3" t="s">
        <v>477</v>
      </c>
      <c r="E151" s="3" t="s">
        <v>24</v>
      </c>
      <c r="F151" s="3" t="s">
        <v>90</v>
      </c>
      <c r="G151" s="3" t="s">
        <v>36</v>
      </c>
      <c r="H151" s="4">
        <v>46306</v>
      </c>
      <c r="I151" s="5">
        <v>5.4</v>
      </c>
      <c r="J151" s="3" t="s">
        <v>16</v>
      </c>
    </row>
    <row r="152" spans="1:10" hidden="1" x14ac:dyDescent="0.3">
      <c r="A152" s="2">
        <v>151</v>
      </c>
      <c r="B152" s="2" t="s">
        <v>478</v>
      </c>
      <c r="C152" s="3" t="s">
        <v>479</v>
      </c>
      <c r="D152" s="3" t="s">
        <v>480</v>
      </c>
      <c r="E152" s="3" t="s">
        <v>34</v>
      </c>
      <c r="F152" s="3" t="s">
        <v>90</v>
      </c>
      <c r="G152" s="3" t="s">
        <v>15</v>
      </c>
      <c r="H152" s="4">
        <v>46316</v>
      </c>
      <c r="I152" s="5">
        <v>9.1</v>
      </c>
      <c r="J152" s="3" t="s">
        <v>16</v>
      </c>
    </row>
    <row r="153" spans="1:10" hidden="1" x14ac:dyDescent="0.3">
      <c r="A153" s="2">
        <v>152</v>
      </c>
      <c r="B153" s="2" t="s">
        <v>481</v>
      </c>
      <c r="C153" s="3" t="s">
        <v>482</v>
      </c>
      <c r="D153" s="3" t="s">
        <v>483</v>
      </c>
      <c r="E153" s="3" t="s">
        <v>24</v>
      </c>
      <c r="F153" s="3" t="s">
        <v>29</v>
      </c>
      <c r="G153" s="3" t="s">
        <v>42</v>
      </c>
      <c r="H153" s="4">
        <v>46316</v>
      </c>
      <c r="I153" s="5">
        <v>9.4</v>
      </c>
      <c r="J153" s="3" t="s">
        <v>30</v>
      </c>
    </row>
    <row r="154" spans="1:10" x14ac:dyDescent="0.3">
      <c r="A154" s="2">
        <v>153</v>
      </c>
      <c r="B154" s="2" t="s">
        <v>484</v>
      </c>
      <c r="C154" s="3" t="s">
        <v>485</v>
      </c>
      <c r="D154" s="3" t="s">
        <v>486</v>
      </c>
      <c r="E154" s="3" t="s">
        <v>34</v>
      </c>
      <c r="F154" s="3" t="s">
        <v>35</v>
      </c>
      <c r="G154" s="3" t="s">
        <v>25</v>
      </c>
      <c r="H154" s="4">
        <v>46301</v>
      </c>
      <c r="I154" s="5">
        <v>5.3</v>
      </c>
      <c r="J154" s="3" t="s">
        <v>16</v>
      </c>
    </row>
    <row r="155" spans="1:10" hidden="1" x14ac:dyDescent="0.3">
      <c r="A155" s="2">
        <v>154</v>
      </c>
      <c r="B155" s="2" t="s">
        <v>487</v>
      </c>
      <c r="C155" s="3" t="s">
        <v>488</v>
      </c>
      <c r="D155" s="3" t="s">
        <v>489</v>
      </c>
      <c r="E155" s="3" t="s">
        <v>24</v>
      </c>
      <c r="F155" s="3" t="s">
        <v>35</v>
      </c>
      <c r="G155" s="3" t="s">
        <v>42</v>
      </c>
      <c r="H155" s="4">
        <v>46318</v>
      </c>
      <c r="I155" s="5">
        <v>3.8</v>
      </c>
      <c r="J155" s="3" t="s">
        <v>16</v>
      </c>
    </row>
    <row r="156" spans="1:10" hidden="1" x14ac:dyDescent="0.3">
      <c r="A156" s="2">
        <v>155</v>
      </c>
      <c r="B156" s="2" t="s">
        <v>490</v>
      </c>
      <c r="C156" s="3" t="s">
        <v>491</v>
      </c>
      <c r="D156" s="3" t="s">
        <v>492</v>
      </c>
      <c r="E156" s="3" t="s">
        <v>46</v>
      </c>
      <c r="F156" s="3" t="s">
        <v>29</v>
      </c>
      <c r="G156" s="3" t="s">
        <v>15</v>
      </c>
      <c r="H156" s="4">
        <v>46313</v>
      </c>
      <c r="I156" s="5">
        <v>8</v>
      </c>
      <c r="J156" s="3" t="s">
        <v>30</v>
      </c>
    </row>
    <row r="157" spans="1:10" hidden="1" x14ac:dyDescent="0.3">
      <c r="A157" s="2">
        <v>156</v>
      </c>
      <c r="B157" s="2" t="s">
        <v>493</v>
      </c>
      <c r="C157" s="3" t="s">
        <v>494</v>
      </c>
      <c r="D157" s="3" t="s">
        <v>495</v>
      </c>
      <c r="E157" s="3" t="s">
        <v>34</v>
      </c>
      <c r="F157" s="3" t="s">
        <v>35</v>
      </c>
      <c r="G157" s="3" t="s">
        <v>42</v>
      </c>
      <c r="H157" s="4">
        <v>46303</v>
      </c>
      <c r="I157" s="5">
        <v>9.9</v>
      </c>
      <c r="J157" s="3" t="s">
        <v>16</v>
      </c>
    </row>
    <row r="158" spans="1:10" hidden="1" x14ac:dyDescent="0.3">
      <c r="A158" s="2">
        <v>157</v>
      </c>
      <c r="B158" s="2" t="s">
        <v>496</v>
      </c>
      <c r="C158" s="3" t="s">
        <v>497</v>
      </c>
      <c r="D158" s="3" t="s">
        <v>498</v>
      </c>
      <c r="E158" s="3" t="s">
        <v>24</v>
      </c>
      <c r="F158" s="3" t="s">
        <v>14</v>
      </c>
      <c r="G158" s="3" t="s">
        <v>15</v>
      </c>
      <c r="H158" s="4">
        <v>46302</v>
      </c>
      <c r="I158" s="5">
        <v>7.7</v>
      </c>
      <c r="J158" s="3" t="s">
        <v>16</v>
      </c>
    </row>
    <row r="159" spans="1:10" x14ac:dyDescent="0.3">
      <c r="A159" s="2">
        <v>158</v>
      </c>
      <c r="B159" s="2" t="s">
        <v>499</v>
      </c>
      <c r="C159" s="3" t="s">
        <v>500</v>
      </c>
      <c r="D159" s="3" t="s">
        <v>501</v>
      </c>
      <c r="E159" s="3" t="s">
        <v>34</v>
      </c>
      <c r="F159" s="3" t="s">
        <v>14</v>
      </c>
      <c r="G159" s="3" t="s">
        <v>42</v>
      </c>
      <c r="H159" s="4">
        <v>46317</v>
      </c>
      <c r="I159" s="5">
        <v>5.9</v>
      </c>
      <c r="J159" s="3" t="s">
        <v>30</v>
      </c>
    </row>
    <row r="160" spans="1:10" hidden="1" x14ac:dyDescent="0.3">
      <c r="A160" s="2">
        <v>159</v>
      </c>
      <c r="B160" s="2" t="s">
        <v>502</v>
      </c>
      <c r="C160" s="3" t="s">
        <v>503</v>
      </c>
      <c r="D160" s="3" t="s">
        <v>504</v>
      </c>
      <c r="E160" s="3" t="s">
        <v>46</v>
      </c>
      <c r="F160" s="3" t="s">
        <v>14</v>
      </c>
      <c r="G160" s="3" t="s">
        <v>15</v>
      </c>
      <c r="H160" s="4">
        <v>46315</v>
      </c>
      <c r="I160" s="5">
        <v>3.6</v>
      </c>
      <c r="J160" s="3" t="s">
        <v>16</v>
      </c>
    </row>
    <row r="161" spans="1:10" hidden="1" x14ac:dyDescent="0.3">
      <c r="A161" s="2">
        <v>160</v>
      </c>
      <c r="B161" s="2" t="s">
        <v>505</v>
      </c>
      <c r="C161" s="3" t="s">
        <v>506</v>
      </c>
      <c r="D161" s="3" t="s">
        <v>507</v>
      </c>
      <c r="E161" s="3" t="s">
        <v>24</v>
      </c>
      <c r="F161" s="3" t="s">
        <v>41</v>
      </c>
      <c r="G161" s="3" t="s">
        <v>42</v>
      </c>
      <c r="H161" s="4">
        <v>46316</v>
      </c>
      <c r="I161" s="5">
        <v>5.6</v>
      </c>
      <c r="J161" s="3" t="s">
        <v>16</v>
      </c>
    </row>
    <row r="162" spans="1:10" hidden="1" x14ac:dyDescent="0.3">
      <c r="A162" s="2">
        <v>161</v>
      </c>
      <c r="B162" s="2" t="s">
        <v>508</v>
      </c>
      <c r="C162" s="3" t="s">
        <v>509</v>
      </c>
      <c r="D162" s="3" t="s">
        <v>510</v>
      </c>
      <c r="E162" s="3" t="s">
        <v>13</v>
      </c>
      <c r="F162" s="3" t="s">
        <v>35</v>
      </c>
      <c r="G162" s="3" t="s">
        <v>25</v>
      </c>
      <c r="H162" s="4">
        <v>46306</v>
      </c>
      <c r="I162" s="5">
        <v>7.2</v>
      </c>
      <c r="J162" s="3" t="s">
        <v>16</v>
      </c>
    </row>
    <row r="163" spans="1:10" hidden="1" x14ac:dyDescent="0.3">
      <c r="A163" s="2">
        <v>162</v>
      </c>
      <c r="B163" s="2" t="s">
        <v>511</v>
      </c>
      <c r="C163" s="3" t="s">
        <v>512</v>
      </c>
      <c r="D163" s="3" t="s">
        <v>513</v>
      </c>
      <c r="E163" s="3" t="s">
        <v>34</v>
      </c>
      <c r="F163" s="3" t="s">
        <v>68</v>
      </c>
      <c r="G163" s="3" t="s">
        <v>36</v>
      </c>
      <c r="H163" s="4">
        <v>46317</v>
      </c>
      <c r="I163" s="5">
        <v>7.4</v>
      </c>
      <c r="J163" s="3" t="s">
        <v>30</v>
      </c>
    </row>
    <row r="164" spans="1:10" x14ac:dyDescent="0.3">
      <c r="A164" s="2">
        <v>163</v>
      </c>
      <c r="B164" s="2" t="s">
        <v>514</v>
      </c>
      <c r="C164" s="3" t="s">
        <v>515</v>
      </c>
      <c r="D164" s="3" t="s">
        <v>516</v>
      </c>
      <c r="E164" s="3" t="s">
        <v>34</v>
      </c>
      <c r="F164" s="3" t="s">
        <v>20</v>
      </c>
      <c r="G164" s="3" t="s">
        <v>25</v>
      </c>
      <c r="H164" s="4">
        <v>46320</v>
      </c>
      <c r="I164" s="5">
        <v>5.5</v>
      </c>
      <c r="J164" s="3" t="s">
        <v>16</v>
      </c>
    </row>
    <row r="165" spans="1:10" hidden="1" x14ac:dyDescent="0.3">
      <c r="A165" s="2">
        <v>164</v>
      </c>
      <c r="B165" s="2" t="s">
        <v>517</v>
      </c>
      <c r="C165" s="3" t="s">
        <v>518</v>
      </c>
      <c r="D165" s="3" t="s">
        <v>519</v>
      </c>
      <c r="E165" s="3" t="s">
        <v>13</v>
      </c>
      <c r="F165" s="3" t="s">
        <v>41</v>
      </c>
      <c r="G165" s="3" t="s">
        <v>42</v>
      </c>
      <c r="H165" s="4">
        <v>46304</v>
      </c>
      <c r="I165" s="5">
        <v>7</v>
      </c>
      <c r="J165" s="3" t="s">
        <v>30</v>
      </c>
    </row>
    <row r="166" spans="1:10" hidden="1" x14ac:dyDescent="0.3">
      <c r="A166" s="2">
        <v>165</v>
      </c>
      <c r="B166" s="2" t="s">
        <v>520</v>
      </c>
      <c r="C166" s="3" t="s">
        <v>521</v>
      </c>
      <c r="D166" s="3" t="s">
        <v>522</v>
      </c>
      <c r="E166" s="3" t="s">
        <v>40</v>
      </c>
      <c r="F166" s="3" t="s">
        <v>20</v>
      </c>
      <c r="G166" s="3" t="s">
        <v>42</v>
      </c>
      <c r="H166" s="4">
        <v>46298</v>
      </c>
      <c r="I166" s="5">
        <v>4.9000000000000004</v>
      </c>
      <c r="J166" s="3" t="s">
        <v>16</v>
      </c>
    </row>
    <row r="167" spans="1:10" x14ac:dyDescent="0.3">
      <c r="A167" s="2">
        <v>166</v>
      </c>
      <c r="B167" s="2" t="s">
        <v>523</v>
      </c>
      <c r="C167" s="3" t="s">
        <v>524</v>
      </c>
      <c r="D167" s="3" t="s">
        <v>525</v>
      </c>
      <c r="E167" s="3" t="s">
        <v>34</v>
      </c>
      <c r="F167" s="3" t="s">
        <v>68</v>
      </c>
      <c r="G167" s="3" t="s">
        <v>25</v>
      </c>
      <c r="H167" s="4">
        <v>46319</v>
      </c>
      <c r="I167" s="5">
        <v>5.0999999999999996</v>
      </c>
      <c r="J167" s="3" t="s">
        <v>16</v>
      </c>
    </row>
    <row r="168" spans="1:10" hidden="1" x14ac:dyDescent="0.3">
      <c r="A168" s="2">
        <v>167</v>
      </c>
      <c r="B168" s="2" t="s">
        <v>526</v>
      </c>
      <c r="C168" s="3" t="s">
        <v>527</v>
      </c>
      <c r="D168" s="3" t="s">
        <v>528</v>
      </c>
      <c r="E168" s="3" t="s">
        <v>13</v>
      </c>
      <c r="F168" s="3" t="s">
        <v>41</v>
      </c>
      <c r="G168" s="3" t="s">
        <v>15</v>
      </c>
      <c r="H168" s="4">
        <v>46306</v>
      </c>
      <c r="I168" s="5">
        <v>5.2</v>
      </c>
      <c r="J168" s="3" t="s">
        <v>16</v>
      </c>
    </row>
    <row r="169" spans="1:10" hidden="1" x14ac:dyDescent="0.3">
      <c r="A169" s="2">
        <v>168</v>
      </c>
      <c r="B169" s="2" t="s">
        <v>529</v>
      </c>
      <c r="C169" s="3" t="s">
        <v>530</v>
      </c>
      <c r="D169" s="3" t="s">
        <v>531</v>
      </c>
      <c r="E169" s="3" t="s">
        <v>40</v>
      </c>
      <c r="F169" s="3" t="s">
        <v>90</v>
      </c>
      <c r="G169" s="3" t="s">
        <v>42</v>
      </c>
      <c r="H169" s="4">
        <v>46303</v>
      </c>
      <c r="I169" s="5">
        <v>6.3</v>
      </c>
      <c r="J169" s="3" t="s">
        <v>16</v>
      </c>
    </row>
    <row r="170" spans="1:10" x14ac:dyDescent="0.3">
      <c r="A170" s="2">
        <v>169</v>
      </c>
      <c r="B170" s="2" t="s">
        <v>532</v>
      </c>
      <c r="C170" s="3" t="s">
        <v>533</v>
      </c>
      <c r="D170" s="3" t="s">
        <v>534</v>
      </c>
      <c r="E170" s="3" t="s">
        <v>34</v>
      </c>
      <c r="F170" s="3" t="s">
        <v>20</v>
      </c>
      <c r="G170" s="3" t="s">
        <v>15</v>
      </c>
      <c r="H170" s="4">
        <v>46297</v>
      </c>
      <c r="I170" s="5">
        <v>3.5</v>
      </c>
      <c r="J170" s="3" t="s">
        <v>16</v>
      </c>
    </row>
    <row r="171" spans="1:10" hidden="1" x14ac:dyDescent="0.3">
      <c r="A171" s="2">
        <v>170</v>
      </c>
      <c r="B171" s="2" t="s">
        <v>535</v>
      </c>
      <c r="C171" s="3" t="s">
        <v>536</v>
      </c>
      <c r="D171" s="3" t="s">
        <v>537</v>
      </c>
      <c r="E171" s="3" t="s">
        <v>46</v>
      </c>
      <c r="F171" s="3" t="s">
        <v>20</v>
      </c>
      <c r="G171" s="3" t="s">
        <v>42</v>
      </c>
      <c r="H171" s="4">
        <v>46315</v>
      </c>
      <c r="I171" s="5">
        <v>7.9</v>
      </c>
      <c r="J171" s="3" t="s">
        <v>16</v>
      </c>
    </row>
    <row r="172" spans="1:10" hidden="1" x14ac:dyDescent="0.3">
      <c r="A172" s="2">
        <v>171</v>
      </c>
      <c r="B172" s="2" t="s">
        <v>538</v>
      </c>
      <c r="C172" s="3" t="s">
        <v>539</v>
      </c>
      <c r="D172" s="3" t="s">
        <v>540</v>
      </c>
      <c r="E172" s="3" t="s">
        <v>13</v>
      </c>
      <c r="F172" s="3" t="s">
        <v>14</v>
      </c>
      <c r="G172" s="3" t="s">
        <v>15</v>
      </c>
      <c r="H172" s="4">
        <v>46296</v>
      </c>
      <c r="I172" s="5">
        <v>4.9000000000000004</v>
      </c>
      <c r="J172" s="3" t="s">
        <v>16</v>
      </c>
    </row>
    <row r="173" spans="1:10" hidden="1" x14ac:dyDescent="0.3">
      <c r="A173" s="2">
        <v>172</v>
      </c>
      <c r="B173" s="2" t="s">
        <v>541</v>
      </c>
      <c r="C173" s="3" t="s">
        <v>542</v>
      </c>
      <c r="D173" s="3" t="s">
        <v>543</v>
      </c>
      <c r="E173" s="3" t="s">
        <v>40</v>
      </c>
      <c r="F173" s="3" t="s">
        <v>29</v>
      </c>
      <c r="G173" s="3" t="s">
        <v>25</v>
      </c>
      <c r="H173" s="4">
        <v>46313</v>
      </c>
      <c r="I173" s="5">
        <v>5.6</v>
      </c>
      <c r="J173" s="3" t="s">
        <v>16</v>
      </c>
    </row>
    <row r="174" spans="1:10" hidden="1" x14ac:dyDescent="0.3">
      <c r="A174" s="2">
        <v>173</v>
      </c>
      <c r="B174" s="2" t="s">
        <v>544</v>
      </c>
      <c r="C174" s="3" t="s">
        <v>545</v>
      </c>
      <c r="D174" s="3" t="s">
        <v>546</v>
      </c>
      <c r="E174" s="3" t="s">
        <v>46</v>
      </c>
      <c r="F174" s="3" t="s">
        <v>35</v>
      </c>
      <c r="G174" s="3" t="s">
        <v>42</v>
      </c>
      <c r="H174" s="4">
        <v>46307</v>
      </c>
      <c r="I174" s="5">
        <v>6.6</v>
      </c>
      <c r="J174" s="3" t="s">
        <v>16</v>
      </c>
    </row>
    <row r="175" spans="1:10" hidden="1" x14ac:dyDescent="0.3">
      <c r="A175" s="2">
        <v>174</v>
      </c>
      <c r="B175" s="2" t="s">
        <v>547</v>
      </c>
      <c r="C175" s="3" t="s">
        <v>548</v>
      </c>
      <c r="D175" s="3" t="s">
        <v>549</v>
      </c>
      <c r="E175" s="3" t="s">
        <v>40</v>
      </c>
      <c r="F175" s="3" t="s">
        <v>20</v>
      </c>
      <c r="G175" s="3" t="s">
        <v>42</v>
      </c>
      <c r="H175" s="4">
        <v>46309</v>
      </c>
      <c r="I175" s="5">
        <v>5.0999999999999996</v>
      </c>
      <c r="J175" s="3" t="s">
        <v>30</v>
      </c>
    </row>
    <row r="176" spans="1:10" hidden="1" x14ac:dyDescent="0.3">
      <c r="A176" s="2">
        <v>175</v>
      </c>
      <c r="B176" s="2" t="s">
        <v>550</v>
      </c>
      <c r="C176" s="3" t="s">
        <v>551</v>
      </c>
      <c r="D176" s="3" t="s">
        <v>552</v>
      </c>
      <c r="E176" s="3" t="s">
        <v>46</v>
      </c>
      <c r="F176" s="3" t="s">
        <v>35</v>
      </c>
      <c r="G176" s="3" t="s">
        <v>42</v>
      </c>
      <c r="H176" s="4">
        <v>46299</v>
      </c>
      <c r="I176" s="5">
        <v>4.4000000000000004</v>
      </c>
      <c r="J176" s="3" t="s">
        <v>16</v>
      </c>
    </row>
    <row r="177" spans="1:10" hidden="1" x14ac:dyDescent="0.3">
      <c r="A177" s="2">
        <v>176</v>
      </c>
      <c r="B177" s="2" t="s">
        <v>553</v>
      </c>
      <c r="C177" s="3" t="s">
        <v>554</v>
      </c>
      <c r="D177" s="3" t="s">
        <v>555</v>
      </c>
      <c r="E177" s="3" t="s">
        <v>13</v>
      </c>
      <c r="F177" s="3" t="s">
        <v>14</v>
      </c>
      <c r="G177" s="3" t="s">
        <v>15</v>
      </c>
      <c r="H177" s="4">
        <v>46317</v>
      </c>
      <c r="I177" s="5">
        <v>9.9</v>
      </c>
      <c r="J177" s="3" t="s">
        <v>16</v>
      </c>
    </row>
    <row r="178" spans="1:10" hidden="1" x14ac:dyDescent="0.3">
      <c r="A178" s="2">
        <v>177</v>
      </c>
      <c r="B178" s="2" t="s">
        <v>556</v>
      </c>
      <c r="C178" s="3" t="s">
        <v>557</v>
      </c>
      <c r="D178" s="3" t="s">
        <v>558</v>
      </c>
      <c r="E178" s="3" t="s">
        <v>46</v>
      </c>
      <c r="F178" s="3" t="s">
        <v>14</v>
      </c>
      <c r="G178" s="3" t="s">
        <v>42</v>
      </c>
      <c r="H178" s="4">
        <v>46313</v>
      </c>
      <c r="I178" s="5">
        <v>6.2</v>
      </c>
      <c r="J178" s="3" t="s">
        <v>16</v>
      </c>
    </row>
    <row r="179" spans="1:10" hidden="1" x14ac:dyDescent="0.3">
      <c r="A179" s="2">
        <v>178</v>
      </c>
      <c r="B179" s="2" t="s">
        <v>559</v>
      </c>
      <c r="C179" s="3" t="s">
        <v>560</v>
      </c>
      <c r="D179" s="3" t="s">
        <v>561</v>
      </c>
      <c r="E179" s="3" t="s">
        <v>40</v>
      </c>
      <c r="F179" s="3" t="s">
        <v>20</v>
      </c>
      <c r="G179" s="3" t="s">
        <v>36</v>
      </c>
      <c r="H179" s="4">
        <v>46320</v>
      </c>
      <c r="I179" s="5">
        <v>8.1999999999999993</v>
      </c>
      <c r="J179" s="3" t="s">
        <v>30</v>
      </c>
    </row>
    <row r="180" spans="1:10" x14ac:dyDescent="0.3">
      <c r="A180" s="2">
        <v>179</v>
      </c>
      <c r="B180" s="2" t="s">
        <v>562</v>
      </c>
      <c r="C180" s="3" t="s">
        <v>563</v>
      </c>
      <c r="D180" s="3" t="s">
        <v>564</v>
      </c>
      <c r="E180" s="3" t="s">
        <v>34</v>
      </c>
      <c r="F180" s="3" t="s">
        <v>90</v>
      </c>
      <c r="G180" s="3" t="s">
        <v>15</v>
      </c>
      <c r="H180" s="4">
        <v>46317</v>
      </c>
      <c r="I180" s="5">
        <v>4.7</v>
      </c>
      <c r="J180" s="3" t="s">
        <v>16</v>
      </c>
    </row>
    <row r="181" spans="1:10" x14ac:dyDescent="0.3">
      <c r="A181" s="2">
        <v>180</v>
      </c>
      <c r="B181" s="2" t="s">
        <v>565</v>
      </c>
      <c r="C181" s="3" t="s">
        <v>566</v>
      </c>
      <c r="D181" s="3" t="s">
        <v>567</v>
      </c>
      <c r="E181" s="3" t="s">
        <v>34</v>
      </c>
      <c r="F181" s="3" t="s">
        <v>35</v>
      </c>
      <c r="G181" s="3" t="s">
        <v>15</v>
      </c>
      <c r="H181" s="4">
        <v>46321</v>
      </c>
      <c r="I181" s="5">
        <v>4.5</v>
      </c>
      <c r="J181" s="3" t="s">
        <v>30</v>
      </c>
    </row>
    <row r="182" spans="1:10" hidden="1" x14ac:dyDescent="0.3">
      <c r="A182" s="2">
        <v>181</v>
      </c>
      <c r="B182" s="2" t="s">
        <v>568</v>
      </c>
      <c r="C182" s="3" t="s">
        <v>569</v>
      </c>
      <c r="D182" s="3" t="s">
        <v>570</v>
      </c>
      <c r="E182" s="3" t="s">
        <v>46</v>
      </c>
      <c r="F182" s="3" t="s">
        <v>20</v>
      </c>
      <c r="G182" s="3" t="s">
        <v>15</v>
      </c>
      <c r="H182" s="4">
        <v>46296</v>
      </c>
      <c r="I182" s="5">
        <v>4.5999999999999996</v>
      </c>
      <c r="J182" s="3" t="s">
        <v>16</v>
      </c>
    </row>
    <row r="183" spans="1:10" hidden="1" x14ac:dyDescent="0.3">
      <c r="A183" s="2">
        <v>182</v>
      </c>
      <c r="B183" s="2" t="s">
        <v>571</v>
      </c>
      <c r="C183" s="3" t="s">
        <v>572</v>
      </c>
      <c r="D183" s="3" t="s">
        <v>573</v>
      </c>
      <c r="E183" s="3" t="s">
        <v>34</v>
      </c>
      <c r="F183" s="3" t="s">
        <v>20</v>
      </c>
      <c r="G183" s="3" t="s">
        <v>15</v>
      </c>
      <c r="H183" s="4">
        <v>46302</v>
      </c>
      <c r="I183" s="5">
        <v>7.6</v>
      </c>
      <c r="J183" s="3" t="s">
        <v>16</v>
      </c>
    </row>
    <row r="184" spans="1:10" hidden="1" x14ac:dyDescent="0.3">
      <c r="A184" s="2">
        <v>183</v>
      </c>
      <c r="B184" s="2" t="s">
        <v>574</v>
      </c>
      <c r="C184" s="3" t="s">
        <v>575</v>
      </c>
      <c r="D184" s="3" t="s">
        <v>576</v>
      </c>
      <c r="E184" s="3" t="s">
        <v>46</v>
      </c>
      <c r="F184" s="3" t="s">
        <v>29</v>
      </c>
      <c r="G184" s="3" t="s">
        <v>25</v>
      </c>
      <c r="H184" s="4">
        <v>46302</v>
      </c>
      <c r="I184" s="5">
        <v>7.6</v>
      </c>
      <c r="J184" s="3" t="s">
        <v>16</v>
      </c>
    </row>
    <row r="185" spans="1:10" hidden="1" x14ac:dyDescent="0.3">
      <c r="A185" s="2">
        <v>184</v>
      </c>
      <c r="B185" s="2" t="s">
        <v>577</v>
      </c>
      <c r="C185" s="3" t="s">
        <v>578</v>
      </c>
      <c r="D185" s="3" t="s">
        <v>579</v>
      </c>
      <c r="E185" s="3" t="s">
        <v>13</v>
      </c>
      <c r="F185" s="3" t="s">
        <v>41</v>
      </c>
      <c r="G185" s="3" t="s">
        <v>42</v>
      </c>
      <c r="H185" s="4">
        <v>46308</v>
      </c>
      <c r="I185" s="5">
        <v>3.4</v>
      </c>
      <c r="J185" s="3" t="s">
        <v>16</v>
      </c>
    </row>
    <row r="186" spans="1:10" hidden="1" x14ac:dyDescent="0.3">
      <c r="A186" s="2">
        <v>185</v>
      </c>
      <c r="B186" s="2" t="s">
        <v>580</v>
      </c>
      <c r="C186" s="3" t="s">
        <v>581</v>
      </c>
      <c r="D186" s="3" t="s">
        <v>582</v>
      </c>
      <c r="E186" s="3" t="s">
        <v>24</v>
      </c>
      <c r="F186" s="3" t="s">
        <v>20</v>
      </c>
      <c r="G186" s="3" t="s">
        <v>36</v>
      </c>
      <c r="H186" s="4">
        <v>46296</v>
      </c>
      <c r="I186" s="5">
        <v>3.9</v>
      </c>
      <c r="J186" s="3" t="s">
        <v>30</v>
      </c>
    </row>
    <row r="187" spans="1:10" hidden="1" x14ac:dyDescent="0.3">
      <c r="A187" s="2">
        <v>186</v>
      </c>
      <c r="B187" s="2" t="s">
        <v>583</v>
      </c>
      <c r="C187" s="3" t="s">
        <v>584</v>
      </c>
      <c r="D187" s="3" t="s">
        <v>585</v>
      </c>
      <c r="E187" s="3" t="s">
        <v>24</v>
      </c>
      <c r="F187" s="3" t="s">
        <v>90</v>
      </c>
      <c r="G187" s="3" t="s">
        <v>42</v>
      </c>
      <c r="H187" s="4">
        <v>46298</v>
      </c>
      <c r="I187" s="5">
        <v>5.8</v>
      </c>
      <c r="J187" s="3" t="s">
        <v>16</v>
      </c>
    </row>
    <row r="188" spans="1:10" hidden="1" x14ac:dyDescent="0.3">
      <c r="A188" s="2">
        <v>187</v>
      </c>
      <c r="B188" s="2" t="s">
        <v>586</v>
      </c>
      <c r="C188" s="3" t="s">
        <v>587</v>
      </c>
      <c r="D188" s="3" t="s">
        <v>588</v>
      </c>
      <c r="E188" s="3" t="s">
        <v>24</v>
      </c>
      <c r="F188" s="3" t="s">
        <v>68</v>
      </c>
      <c r="G188" s="3" t="s">
        <v>42</v>
      </c>
      <c r="H188" s="4">
        <v>46316</v>
      </c>
      <c r="I188" s="5">
        <v>5.5</v>
      </c>
      <c r="J188" s="3" t="s">
        <v>30</v>
      </c>
    </row>
    <row r="189" spans="1:10" hidden="1" x14ac:dyDescent="0.3">
      <c r="A189" s="2">
        <v>188</v>
      </c>
      <c r="B189" s="2" t="s">
        <v>589</v>
      </c>
      <c r="C189" s="3" t="s">
        <v>590</v>
      </c>
      <c r="D189" s="3" t="s">
        <v>591</v>
      </c>
      <c r="E189" s="3" t="s">
        <v>40</v>
      </c>
      <c r="F189" s="3" t="s">
        <v>90</v>
      </c>
      <c r="G189" s="3" t="s">
        <v>42</v>
      </c>
      <c r="H189" s="4">
        <v>46298</v>
      </c>
      <c r="I189" s="5">
        <v>5</v>
      </c>
      <c r="J189" s="3" t="s">
        <v>16</v>
      </c>
    </row>
    <row r="190" spans="1:10" hidden="1" x14ac:dyDescent="0.3">
      <c r="A190" s="2">
        <v>189</v>
      </c>
      <c r="B190" s="2" t="s">
        <v>592</v>
      </c>
      <c r="C190" s="3" t="s">
        <v>593</v>
      </c>
      <c r="D190" s="3" t="s">
        <v>594</v>
      </c>
      <c r="E190" s="3" t="s">
        <v>46</v>
      </c>
      <c r="F190" s="3" t="s">
        <v>29</v>
      </c>
      <c r="G190" s="3" t="s">
        <v>42</v>
      </c>
      <c r="H190" s="4">
        <v>46307</v>
      </c>
      <c r="I190" s="5">
        <v>8.4</v>
      </c>
      <c r="J190" s="3" t="s">
        <v>16</v>
      </c>
    </row>
    <row r="191" spans="1:10" hidden="1" x14ac:dyDescent="0.3">
      <c r="A191" s="2">
        <v>190</v>
      </c>
      <c r="B191" s="2" t="s">
        <v>595</v>
      </c>
      <c r="C191" s="3" t="s">
        <v>596</v>
      </c>
      <c r="D191" s="3" t="s">
        <v>597</v>
      </c>
      <c r="E191" s="3" t="s">
        <v>34</v>
      </c>
      <c r="F191" s="3" t="s">
        <v>35</v>
      </c>
      <c r="G191" s="3" t="s">
        <v>42</v>
      </c>
      <c r="H191" s="4">
        <v>46302</v>
      </c>
      <c r="I191" s="5">
        <v>8.4</v>
      </c>
      <c r="J191" s="3" t="s">
        <v>16</v>
      </c>
    </row>
    <row r="192" spans="1:10" hidden="1" x14ac:dyDescent="0.3">
      <c r="A192" s="2">
        <v>191</v>
      </c>
      <c r="B192" s="2" t="s">
        <v>598</v>
      </c>
      <c r="C192" s="3" t="s">
        <v>599</v>
      </c>
      <c r="D192" s="3" t="s">
        <v>600</v>
      </c>
      <c r="E192" s="3" t="s">
        <v>46</v>
      </c>
      <c r="F192" s="3" t="s">
        <v>29</v>
      </c>
      <c r="G192" s="3" t="s">
        <v>15</v>
      </c>
      <c r="H192" s="4">
        <v>46309</v>
      </c>
      <c r="I192" s="5">
        <v>6</v>
      </c>
      <c r="J192" s="3" t="s">
        <v>30</v>
      </c>
    </row>
    <row r="193" spans="1:10" hidden="1" x14ac:dyDescent="0.3">
      <c r="A193" s="2">
        <v>192</v>
      </c>
      <c r="B193" s="2" t="s">
        <v>601</v>
      </c>
      <c r="C193" s="3" t="s">
        <v>602</v>
      </c>
      <c r="D193" s="3" t="s">
        <v>603</v>
      </c>
      <c r="E193" s="3" t="s">
        <v>46</v>
      </c>
      <c r="F193" s="3" t="s">
        <v>90</v>
      </c>
      <c r="G193" s="3" t="s">
        <v>36</v>
      </c>
      <c r="H193" s="4">
        <v>46320</v>
      </c>
      <c r="I193" s="5">
        <v>3.1</v>
      </c>
      <c r="J193" s="3" t="s">
        <v>16</v>
      </c>
    </row>
    <row r="194" spans="1:10" x14ac:dyDescent="0.3">
      <c r="A194" s="2">
        <v>193</v>
      </c>
      <c r="B194" s="2" t="s">
        <v>604</v>
      </c>
      <c r="C194" s="3" t="s">
        <v>605</v>
      </c>
      <c r="D194" s="3" t="s">
        <v>606</v>
      </c>
      <c r="E194" s="3" t="s">
        <v>34</v>
      </c>
      <c r="F194" s="3" t="s">
        <v>14</v>
      </c>
      <c r="G194" s="3" t="s">
        <v>25</v>
      </c>
      <c r="H194" s="4">
        <v>46317</v>
      </c>
      <c r="I194" s="5">
        <v>4.5999999999999996</v>
      </c>
      <c r="J194" s="3" t="s">
        <v>30</v>
      </c>
    </row>
    <row r="195" spans="1:10" hidden="1" x14ac:dyDescent="0.3">
      <c r="A195" s="2">
        <v>194</v>
      </c>
      <c r="B195" s="2" t="s">
        <v>607</v>
      </c>
      <c r="C195" s="3" t="s">
        <v>608</v>
      </c>
      <c r="D195" s="3" t="s">
        <v>609</v>
      </c>
      <c r="E195" s="3" t="s">
        <v>46</v>
      </c>
      <c r="F195" s="3" t="s">
        <v>20</v>
      </c>
      <c r="G195" s="3" t="s">
        <v>15</v>
      </c>
      <c r="H195" s="4">
        <v>46309</v>
      </c>
      <c r="I195" s="5">
        <v>8.6999999999999993</v>
      </c>
      <c r="J195" s="3" t="s">
        <v>16</v>
      </c>
    </row>
    <row r="196" spans="1:10" x14ac:dyDescent="0.3">
      <c r="A196" s="2">
        <v>195</v>
      </c>
      <c r="B196" s="2" t="s">
        <v>610</v>
      </c>
      <c r="C196" s="3" t="s">
        <v>611</v>
      </c>
      <c r="D196" s="3" t="s">
        <v>612</v>
      </c>
      <c r="E196" s="3" t="s">
        <v>34</v>
      </c>
      <c r="F196" s="3" t="s">
        <v>29</v>
      </c>
      <c r="G196" s="3" t="s">
        <v>25</v>
      </c>
      <c r="H196" s="4">
        <v>46304</v>
      </c>
      <c r="I196" s="5">
        <v>5.0999999999999996</v>
      </c>
      <c r="J196" s="3" t="s">
        <v>16</v>
      </c>
    </row>
    <row r="197" spans="1:10" hidden="1" x14ac:dyDescent="0.3">
      <c r="A197" s="2">
        <v>196</v>
      </c>
      <c r="B197" s="2" t="s">
        <v>613</v>
      </c>
      <c r="C197" s="3" t="s">
        <v>614</v>
      </c>
      <c r="D197" s="3" t="s">
        <v>615</v>
      </c>
      <c r="E197" s="3" t="s">
        <v>46</v>
      </c>
      <c r="F197" s="3" t="s">
        <v>29</v>
      </c>
      <c r="G197" s="3" t="s">
        <v>42</v>
      </c>
      <c r="H197" s="4">
        <v>46307</v>
      </c>
      <c r="I197" s="5">
        <v>6.3</v>
      </c>
      <c r="J197" s="3" t="s">
        <v>16</v>
      </c>
    </row>
    <row r="198" spans="1:10" hidden="1" x14ac:dyDescent="0.3">
      <c r="A198" s="2">
        <v>197</v>
      </c>
      <c r="B198" s="2" t="s">
        <v>616</v>
      </c>
      <c r="C198" s="3" t="s">
        <v>617</v>
      </c>
      <c r="D198" s="3" t="s">
        <v>618</v>
      </c>
      <c r="E198" s="3" t="s">
        <v>34</v>
      </c>
      <c r="F198" s="3" t="s">
        <v>68</v>
      </c>
      <c r="G198" s="3" t="s">
        <v>36</v>
      </c>
      <c r="H198" s="4">
        <v>46299</v>
      </c>
      <c r="I198" s="5">
        <v>7.3</v>
      </c>
      <c r="J198" s="3" t="s">
        <v>16</v>
      </c>
    </row>
    <row r="199" spans="1:10" x14ac:dyDescent="0.3">
      <c r="A199" s="2">
        <v>198</v>
      </c>
      <c r="B199" s="2" t="s">
        <v>619</v>
      </c>
      <c r="C199" s="3" t="s">
        <v>620</v>
      </c>
      <c r="D199" s="3" t="s">
        <v>621</v>
      </c>
      <c r="E199" s="3" t="s">
        <v>34</v>
      </c>
      <c r="F199" s="3" t="s">
        <v>90</v>
      </c>
      <c r="G199" s="3" t="s">
        <v>25</v>
      </c>
      <c r="H199" s="4">
        <v>46302</v>
      </c>
      <c r="I199" s="5">
        <v>6.5</v>
      </c>
      <c r="J199" s="3" t="s">
        <v>16</v>
      </c>
    </row>
    <row r="200" spans="1:10" x14ac:dyDescent="0.3">
      <c r="A200" s="2">
        <v>199</v>
      </c>
      <c r="B200" s="2" t="s">
        <v>622</v>
      </c>
      <c r="C200" s="3" t="s">
        <v>623</v>
      </c>
      <c r="D200" s="3" t="s">
        <v>624</v>
      </c>
      <c r="E200" s="3" t="s">
        <v>34</v>
      </c>
      <c r="F200" s="3" t="s">
        <v>90</v>
      </c>
      <c r="G200" s="3" t="s">
        <v>42</v>
      </c>
      <c r="H200" s="4">
        <v>46311</v>
      </c>
      <c r="I200" s="5">
        <v>5.5</v>
      </c>
      <c r="J200" s="3" t="s">
        <v>30</v>
      </c>
    </row>
    <row r="201" spans="1:10" hidden="1" x14ac:dyDescent="0.3">
      <c r="A201" s="2">
        <v>200</v>
      </c>
      <c r="B201" s="2" t="s">
        <v>625</v>
      </c>
      <c r="C201" s="3" t="s">
        <v>626</v>
      </c>
      <c r="D201" s="3" t="s">
        <v>627</v>
      </c>
      <c r="E201" s="3" t="s">
        <v>24</v>
      </c>
      <c r="F201" s="3" t="s">
        <v>14</v>
      </c>
      <c r="G201" s="3" t="s">
        <v>36</v>
      </c>
      <c r="H201" s="4">
        <v>46302</v>
      </c>
      <c r="I201" s="5">
        <v>5.5</v>
      </c>
      <c r="J201" s="3" t="s">
        <v>30</v>
      </c>
    </row>
  </sheetData>
  <autoFilter ref="A1:J201" xr:uid="{00000000-0009-0000-0000-000000000000}">
    <filterColumn colId="4">
      <filters>
        <filter val="CNTT"/>
      </filters>
    </filterColumn>
    <filterColumn colId="8">
      <customFilters and="1">
        <customFilter operator="lessThan" val="7"/>
      </custom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zoomScaleNormal="100" workbookViewId="0"/>
  </sheetViews>
  <sheetFormatPr defaultColWidth="8.6640625" defaultRowHeight="14.4" x14ac:dyDescent="0.3"/>
  <cols>
    <col min="1" max="1" width="46" customWidth="1"/>
    <col min="2" max="2" width="12" customWidth="1"/>
    <col min="3" max="3" width="10" customWidth="1"/>
  </cols>
  <sheetData>
    <row r="1" spans="1:3" ht="15.6" x14ac:dyDescent="0.3">
      <c r="A1" s="6" t="s">
        <v>628</v>
      </c>
      <c r="B1" s="7"/>
      <c r="C1" s="7"/>
    </row>
    <row r="2" spans="1:3" x14ac:dyDescent="0.3">
      <c r="A2" s="8" t="s">
        <v>6</v>
      </c>
      <c r="B2" s="8" t="s">
        <v>629</v>
      </c>
      <c r="C2" s="8" t="s">
        <v>630</v>
      </c>
    </row>
    <row r="3" spans="1:3" x14ac:dyDescent="0.3">
      <c r="A3" s="7" t="s">
        <v>42</v>
      </c>
      <c r="B3" s="7">
        <f>COUNTIF('Danh sách'!$G$2:$G$201,A3)</f>
        <v>76</v>
      </c>
      <c r="C3" s="9">
        <f>B3/$B$7</f>
        <v>0.38</v>
      </c>
    </row>
    <row r="4" spans="1:3" x14ac:dyDescent="0.3">
      <c r="A4" s="7" t="s">
        <v>15</v>
      </c>
      <c r="B4" s="7">
        <f>COUNTIF('Danh sách'!$G$2:$G$201,A4)</f>
        <v>62</v>
      </c>
      <c r="C4" s="9">
        <f>B4/$B$7</f>
        <v>0.31</v>
      </c>
    </row>
    <row r="5" spans="1:3" x14ac:dyDescent="0.3">
      <c r="A5" s="7" t="s">
        <v>25</v>
      </c>
      <c r="B5" s="7">
        <f>COUNTIF('Danh sách'!$G$2:$G$201,A5)</f>
        <v>35</v>
      </c>
      <c r="C5" s="9">
        <f>B5/$B$7</f>
        <v>0.17499999999999999</v>
      </c>
    </row>
    <row r="6" spans="1:3" x14ac:dyDescent="0.3">
      <c r="A6" s="7" t="s">
        <v>36</v>
      </c>
      <c r="B6" s="7">
        <f>COUNTIF('Danh sách'!$G$2:$G$201,A6)</f>
        <v>27</v>
      </c>
      <c r="C6" s="9">
        <f>B6/$B$7</f>
        <v>0.13500000000000001</v>
      </c>
    </row>
    <row r="7" spans="1:3" x14ac:dyDescent="0.3">
      <c r="A7" s="10" t="s">
        <v>631</v>
      </c>
      <c r="B7" s="10">
        <f>SUM(B3:B6)</f>
        <v>200</v>
      </c>
      <c r="C7" s="11">
        <f>SUM(C3:C6)</f>
        <v>1</v>
      </c>
    </row>
    <row r="8" spans="1:3" x14ac:dyDescent="0.3">
      <c r="A8" s="7"/>
      <c r="B8" s="7"/>
      <c r="C8" s="7"/>
    </row>
    <row r="9" spans="1:3" ht="15.6" x14ac:dyDescent="0.3">
      <c r="A9" s="6" t="s">
        <v>632</v>
      </c>
      <c r="B9" s="7"/>
      <c r="C9" s="7"/>
    </row>
    <row r="10" spans="1:3" x14ac:dyDescent="0.3">
      <c r="A10" s="8" t="s">
        <v>9</v>
      </c>
      <c r="B10" s="8" t="s">
        <v>629</v>
      </c>
      <c r="C10" s="8" t="s">
        <v>630</v>
      </c>
    </row>
    <row r="11" spans="1:3" x14ac:dyDescent="0.3">
      <c r="A11" s="7" t="s">
        <v>16</v>
      </c>
      <c r="B11" s="7">
        <f>COUNTIF('Danh sách'!$J$2:$J$201,A11)</f>
        <v>141</v>
      </c>
      <c r="C11" s="9">
        <f>B11/$B$13</f>
        <v>0.70499999999999996</v>
      </c>
    </row>
    <row r="12" spans="1:3" x14ac:dyDescent="0.3">
      <c r="A12" s="7" t="s">
        <v>30</v>
      </c>
      <c r="B12" s="7">
        <f>COUNTIF('Danh sách'!$J$2:$J$201,A12)</f>
        <v>59</v>
      </c>
      <c r="C12" s="9">
        <f>B12/$B$13</f>
        <v>0.29499999999999998</v>
      </c>
    </row>
    <row r="13" spans="1:3" x14ac:dyDescent="0.3">
      <c r="A13" s="10" t="s">
        <v>631</v>
      </c>
      <c r="B13" s="10">
        <f>SUM(B11:B12)</f>
        <v>200</v>
      </c>
      <c r="C13" s="11">
        <f>SUM(C11:C12)</f>
        <v>1</v>
      </c>
    </row>
    <row r="14" spans="1:3" x14ac:dyDescent="0.3">
      <c r="A14" s="7"/>
      <c r="B14" s="7"/>
      <c r="C14" s="7"/>
    </row>
    <row r="15" spans="1:3" x14ac:dyDescent="0.3">
      <c r="A15" s="7" t="s">
        <v>633</v>
      </c>
      <c r="B15" s="7">
        <f>COUNTIFS('Danh sách'!$E$2:$E$201,"CNTT",'Danh sách'!$I$2:$I$201,"&lt;7")</f>
        <v>40</v>
      </c>
      <c r="C15" s="7"/>
    </row>
    <row r="16" spans="1:3" x14ac:dyDescent="0.3">
      <c r="A16" s="7"/>
      <c r="B16" s="7"/>
      <c r="C16" s="7"/>
    </row>
    <row r="17" spans="1:3" x14ac:dyDescent="0.3">
      <c r="A17" s="7" t="s">
        <v>634</v>
      </c>
      <c r="B17" s="7"/>
      <c r="C17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10" customWidth="1"/>
    <col min="3" max="3" width="22" customWidth="1"/>
    <col min="4" max="4" width="14" customWidth="1"/>
    <col min="5" max="5" width="22" customWidth="1"/>
  </cols>
  <sheetData>
    <row r="1" spans="1:5" x14ac:dyDescent="0.3">
      <c r="A1" s="8" t="s">
        <v>635</v>
      </c>
      <c r="B1" s="8" t="s">
        <v>636</v>
      </c>
      <c r="C1" s="8" t="s">
        <v>637</v>
      </c>
      <c r="D1" s="8" t="s">
        <v>638</v>
      </c>
      <c r="E1" s="8" t="s">
        <v>639</v>
      </c>
    </row>
    <row r="2" spans="1:5" x14ac:dyDescent="0.3">
      <c r="A2" s="7" t="s">
        <v>640</v>
      </c>
      <c r="B2" s="7">
        <f>LEN(A2)</f>
        <v>14</v>
      </c>
      <c r="C2" s="7" t="str">
        <f>TRIM(A2)</f>
        <v>Nguyễn Văn An</v>
      </c>
      <c r="D2" s="7">
        <f>LEN(C2)</f>
        <v>13</v>
      </c>
      <c r="E2" s="7" t="str">
        <f>IF(B2&lt;&gt;D2,"Có","Không")</f>
        <v>Có</v>
      </c>
    </row>
    <row r="3" spans="1:5" x14ac:dyDescent="0.3">
      <c r="A3" s="7" t="s">
        <v>641</v>
      </c>
      <c r="B3" s="7">
        <f>LEN(A3)</f>
        <v>15</v>
      </c>
      <c r="C3" s="7" t="str">
        <f>TRIM(A3)</f>
        <v>Trần Thị Bình</v>
      </c>
      <c r="D3" s="7">
        <f>LEN(C3)</f>
        <v>13</v>
      </c>
      <c r="E3" s="7" t="str">
        <f>IF(B3&lt;&gt;D3,"Có","Không")</f>
        <v>Có</v>
      </c>
    </row>
    <row r="4" spans="1:5" x14ac:dyDescent="0.3">
      <c r="A4" s="7" t="s">
        <v>642</v>
      </c>
      <c r="B4" s="7">
        <f>LEN(A4)</f>
        <v>12</v>
      </c>
      <c r="C4" s="7" t="str">
        <f>TRIM(A4)</f>
        <v>Lê Minh Đức</v>
      </c>
      <c r="D4" s="7">
        <f>LEN(C4)</f>
        <v>11</v>
      </c>
      <c r="E4" s="7" t="str">
        <f>IF(B4&lt;&gt;D4,"Có","Không")</f>
        <v>Có</v>
      </c>
    </row>
    <row r="5" spans="1:5" x14ac:dyDescent="0.3">
      <c r="A5" s="7" t="s">
        <v>643</v>
      </c>
      <c r="B5" s="7">
        <f>LEN(A5)</f>
        <v>11</v>
      </c>
      <c r="C5" s="7" t="str">
        <f>TRIM(A5)</f>
        <v>Phạm Thu Hà</v>
      </c>
      <c r="D5" s="7">
        <f>LEN(C5)</f>
        <v>11</v>
      </c>
      <c r="E5" s="7" t="str">
        <f>IF(B5&lt;&gt;D5,"Có","Không")</f>
        <v>Không</v>
      </c>
    </row>
    <row r="6" spans="1:5" x14ac:dyDescent="0.3">
      <c r="A6" s="7" t="s">
        <v>644</v>
      </c>
      <c r="B6" s="7">
        <f>LEN(A6)</f>
        <v>13</v>
      </c>
      <c r="C6" s="7" t="str">
        <f>TRIM(A6)</f>
        <v>Đỗ Quốc Huy</v>
      </c>
      <c r="D6" s="7">
        <f>LEN(C6)</f>
        <v>11</v>
      </c>
      <c r="E6" s="7" t="str">
        <f>IF(B6&lt;&gt;D6,"Có","Không")</f>
        <v>Có</v>
      </c>
    </row>
    <row r="7" spans="1:5" x14ac:dyDescent="0.3">
      <c r="A7" s="7"/>
      <c r="B7" s="7"/>
      <c r="C7" s="7"/>
      <c r="D7" s="7"/>
      <c r="E7" s="7"/>
    </row>
    <row r="8" spans="1:5" x14ac:dyDescent="0.3">
      <c r="A8" s="7" t="s">
        <v>645</v>
      </c>
      <c r="B8" s="7"/>
      <c r="C8" s="7"/>
      <c r="D8" s="7"/>
      <c r="E8" s="7"/>
    </row>
    <row r="9" spans="1:5" x14ac:dyDescent="0.3">
      <c r="A9" s="7" t="s">
        <v>646</v>
      </c>
      <c r="B9" s="7"/>
      <c r="C9" s="7"/>
      <c r="D9" s="7"/>
      <c r="E9" s="7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Danh sách</vt:lpstr>
      <vt:lpstr>Thống kê</vt:lpstr>
      <vt:lpstr>Kiểm thử TRIM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Khiêm Lê</cp:lastModifiedBy>
  <cp:revision>0</cp:revision>
  <dcterms:created xsi:type="dcterms:W3CDTF">2026-10-27T00:16:34Z</dcterms:created>
  <dcterms:modified xsi:type="dcterms:W3CDTF">2026-10-27T00:20:25Z</dcterms:modified>
  <dc:language>en-US</dc:language>
</cp:coreProperties>
</file>